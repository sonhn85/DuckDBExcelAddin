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ersonal\src\"/>
    </mc:Choice>
  </mc:AlternateContent>
  <xr:revisionPtr revIDLastSave="0" documentId="13_ncr:1_{04121552-D82A-4CD5-89A4-8A2FEB76DFDE}" xr6:coauthVersionLast="47" xr6:coauthVersionMax="47" xr10:uidLastSave="{00000000-0000-0000-0000-000000000000}"/>
  <bookViews>
    <workbookView xWindow="-108" yWindow="-108" windowWidth="23256" windowHeight="13896" xr2:uid="{16A29E05-5294-4C93-91C1-6C3B8F27AE65}"/>
  </bookViews>
  <sheets>
    <sheet name="TYPES" sheetId="1" r:id="rId1"/>
    <sheet name="XLRANGE" sheetId="2" r:id="rId2"/>
    <sheet name="SCALAR FUNCS" sheetId="3" r:id="rId3"/>
    <sheet name="EXECX" sheetId="4" r:id="rId4"/>
    <sheet name="BIND" sheetId="5" r:id="rId5"/>
    <sheet name="INFO" sheetId="6" r:id="rId6"/>
    <sheet name="ASYNC" sheetId="7" r:id="rId7"/>
    <sheet name="MULTI STMTS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9" l="1" a="1"/>
  <c r="A2" i="9" s="1"/>
  <c r="B11" i="7" a="1"/>
  <c r="B11" i="7" s="1"/>
  <c r="B8" i="7" a="1"/>
  <c r="B8" i="7" s="1"/>
  <c r="B5" i="7" a="1"/>
  <c r="B5" i="7" s="1"/>
  <c r="B2" i="7" a="1"/>
  <c r="B2" i="7" s="1"/>
  <c r="B8" i="5" a="1"/>
  <c r="B8" i="5" s="1"/>
  <c r="B25" i="5"/>
  <c r="B27" i="5" a="1"/>
  <c r="B27" i="5" s="1"/>
  <c r="B22" i="5" a="1"/>
  <c r="B22" i="5" s="1"/>
  <c r="B17" i="5" a="1"/>
  <c r="B17" i="5" s="1"/>
  <c r="B12" i="5" a="1"/>
  <c r="B12" i="5" s="1"/>
  <c r="B3" i="5" a="1"/>
  <c r="B3" i="5" s="1"/>
  <c r="A3" i="4" a="1"/>
  <c r="A3" i="4" s="1"/>
  <c r="B5" i="3" a="1"/>
  <c r="B5" i="3" s="1"/>
  <c r="F2" i="2"/>
  <c r="B32" i="2" s="1" a="1"/>
  <c r="B32" i="2" s="1"/>
  <c r="B110" i="1" a="1"/>
  <c r="B110" i="1" s="1"/>
  <c r="B106" i="1" a="1"/>
  <c r="B106" i="1" s="1"/>
  <c r="B102" i="1" a="1"/>
  <c r="B102" i="1" s="1"/>
  <c r="B98" i="1" a="1"/>
  <c r="B98" i="1" s="1"/>
  <c r="B94" i="1" a="1"/>
  <c r="B94" i="1" s="1"/>
  <c r="B90" i="1" a="1"/>
  <c r="B90" i="1" s="1"/>
  <c r="B86" i="1" a="1"/>
  <c r="B86" i="1" s="1"/>
  <c r="B82" i="1" a="1"/>
  <c r="B82" i="1" s="1"/>
  <c r="B78" i="1" a="1"/>
  <c r="B78" i="1" s="1"/>
  <c r="B74" i="1" a="1"/>
  <c r="B74" i="1" s="1"/>
  <c r="B70" i="1" a="1"/>
  <c r="B70" i="1" s="1"/>
  <c r="B66" i="1" a="1"/>
  <c r="B66" i="1" s="1"/>
  <c r="B62" i="1" a="1"/>
  <c r="B62" i="1" s="1"/>
  <c r="B58" i="1" a="1"/>
  <c r="B58" i="1" s="1"/>
  <c r="B38" i="1" a="1"/>
  <c r="B38" i="1" s="1"/>
  <c r="B34" i="1" a="1"/>
  <c r="B34" i="1" s="1"/>
  <c r="B30" i="1" a="1"/>
  <c r="B30" i="1" s="1"/>
  <c r="B26" i="1" a="1"/>
  <c r="B26" i="1" s="1"/>
  <c r="B54" i="1" a="1"/>
  <c r="B54" i="1" s="1"/>
  <c r="B50" i="1" a="1"/>
  <c r="B50" i="1" s="1"/>
  <c r="B46" i="1" a="1"/>
  <c r="B46" i="1" s="1"/>
  <c r="B42" i="1" a="1"/>
  <c r="B42" i="1" s="1"/>
  <c r="B22" i="1" a="1"/>
  <c r="B22" i="1" s="1"/>
  <c r="B18" i="1" a="1"/>
  <c r="B18" i="1" s="1"/>
  <c r="B14" i="1" a="1"/>
  <c r="B14" i="1" s="1"/>
  <c r="B10" i="1" a="1"/>
  <c r="B10" i="1" s="1"/>
  <c r="B6" i="1" a="1"/>
  <c r="B6" i="1" s="1"/>
  <c r="B2" i="1" a="1"/>
  <c r="B2" i="1" s="1"/>
  <c r="A1" i="6" a="1"/>
  <c r="A1" i="6" l="1"/>
  <c r="B57" i="2" a="1"/>
  <c r="B57" i="2" s="1"/>
  <c r="B38" i="2" a="1"/>
  <c r="B38" i="2" s="1"/>
  <c r="B46" i="2" a="1"/>
  <c r="B46" i="2" s="1"/>
  <c r="B49" i="2" a="1"/>
  <c r="B49" i="2" s="1"/>
  <c r="B24" i="2" a="1"/>
  <c r="B24" i="2" s="1"/>
  <c r="B19" i="2" a="1"/>
  <c r="B19" i="2" s="1"/>
  <c r="B11" i="2" a="1"/>
  <c r="B11" i="2" s="1"/>
  <c r="B7" i="2" a="1"/>
  <c r="B7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<sst xmlns="http://schemas.openxmlformats.org/spreadsheetml/2006/main" count="108" uniqueCount="92">
  <si>
    <t>select 1::tinyint</t>
  </si>
  <si>
    <t>TINYINT</t>
  </si>
  <si>
    <t>UTINYINT</t>
  </si>
  <si>
    <t>select 1::utinyint</t>
  </si>
  <si>
    <t>SMALLINT</t>
  </si>
  <si>
    <t>USMALLINT</t>
  </si>
  <si>
    <t>select 1::smallint</t>
  </si>
  <si>
    <t>select 1::usmallint</t>
  </si>
  <si>
    <t>INTEGER</t>
  </si>
  <si>
    <t>UINTEGER</t>
  </si>
  <si>
    <t>select 1::integer</t>
  </si>
  <si>
    <t>select 1::uinteger</t>
  </si>
  <si>
    <t>select true</t>
  </si>
  <si>
    <t>BOOLEAN</t>
  </si>
  <si>
    <t>VARCHAR</t>
  </si>
  <si>
    <t>select 'abc'</t>
  </si>
  <si>
    <t>FLOAT</t>
  </si>
  <si>
    <t>select 1.2::float</t>
  </si>
  <si>
    <t>DOUBLE</t>
  </si>
  <si>
    <t>select 1.2::double</t>
  </si>
  <si>
    <t>BIGINT</t>
  </si>
  <si>
    <t>UBIGINT</t>
  </si>
  <si>
    <t>select 1::bigint</t>
  </si>
  <si>
    <t>select 1::ubigint</t>
  </si>
  <si>
    <t>HUGEINT</t>
  </si>
  <si>
    <t>UHUGEINT</t>
  </si>
  <si>
    <t>select 1::hugeint</t>
  </si>
  <si>
    <t>select 1::uhugeint</t>
  </si>
  <si>
    <t>SMALLINT BASED DECIMAL</t>
  </si>
  <si>
    <t>select 1.2::decimal(4, 2)</t>
  </si>
  <si>
    <t>INTEGER BASED DECIMAL</t>
  </si>
  <si>
    <t>select 1.2::decimal(9, 2)</t>
  </si>
  <si>
    <t>BIGINT BASED DECIMAL</t>
  </si>
  <si>
    <t>select 1.2::decimal(18, 2)</t>
  </si>
  <si>
    <t>HUGEINT BASED DECIMAL</t>
  </si>
  <si>
    <t>select 1.2::decimal(38, 2)</t>
  </si>
  <si>
    <t>DATE</t>
  </si>
  <si>
    <t>select '2026-12-31'::date</t>
  </si>
  <si>
    <t>TIME</t>
  </si>
  <si>
    <t>select '09:30:45'::time</t>
  </si>
  <si>
    <t>TIME WITH TIME ZONE</t>
  </si>
  <si>
    <t>select '09:30:45+07:00'::time with time zone</t>
  </si>
  <si>
    <t>TIMESTAMP</t>
  </si>
  <si>
    <t>select '2026-12-31 09:30:45'::timestamp</t>
  </si>
  <si>
    <t>TIMESTAMP WITH TIME ZONE</t>
  </si>
  <si>
    <t>select '2026-12-31 09:30:45+07:00'::timestamp with time zone</t>
  </si>
  <si>
    <t>TIMESTAMP_S</t>
  </si>
  <si>
    <t>select '2026-12-31 09:30:45'::timestamp_s</t>
  </si>
  <si>
    <t>TIMESTAMP_MS</t>
  </si>
  <si>
    <t>select '2026-12-31 09:30:45'::timestamp_ms</t>
  </si>
  <si>
    <t>TIMESTAMP_NS</t>
  </si>
  <si>
    <t>select '2026-12-31 09:30:45'::timestamp_ns</t>
  </si>
  <si>
    <t>NULL</t>
  </si>
  <si>
    <t>select null</t>
  </si>
  <si>
    <t>OTHER TYPES</t>
  </si>
  <si>
    <t>TEST DATA</t>
  </si>
  <si>
    <t>STRING_COL</t>
  </si>
  <si>
    <t>abc</t>
  </si>
  <si>
    <t>EMPTY_COL</t>
  </si>
  <si>
    <t>ERROR_COL</t>
  </si>
  <si>
    <t>select * from xlrange(1)</t>
  </si>
  <si>
    <t>describe (from xlrange(1))</t>
  </si>
  <si>
    <t>select * from xlrange(1, sample=1)</t>
  </si>
  <si>
    <t>READ 1 ROW</t>
  </si>
  <si>
    <t>READ 2 ROW</t>
  </si>
  <si>
    <t>(fall back to DOUBLE)</t>
  </si>
  <si>
    <t>(fall back to VARCHAR)</t>
  </si>
  <si>
    <t>READ 3 ROW</t>
  </si>
  <si>
    <t>FAILED TO CONVERT VALUE TO INFERRED COLUMN TYPE</t>
  </si>
  <si>
    <t>SAMPLE ALL</t>
  </si>
  <si>
    <t>describe (from xlrange(1, sample=0))</t>
  </si>
  <si>
    <t>ALL VARCHAR</t>
  </si>
  <si>
    <t>describe (from xlrange(1, all_varchar=true))</t>
  </si>
  <si>
    <t>NUMBER_1</t>
  </si>
  <si>
    <t>NUMBER_2</t>
  </si>
  <si>
    <t>xldate</t>
  </si>
  <si>
    <t>date_col</t>
  </si>
  <si>
    <t>time_col</t>
  </si>
  <si>
    <t>datetime_col</t>
  </si>
  <si>
    <t>select xldate(date_col)::varchar, xltime(time_col)::varchar, xldatetime(datetime_col)::varchar from xlrange(1)</t>
  </si>
  <si>
    <t>create macro test_macro(x) as x;</t>
  </si>
  <si>
    <t>select test_macro(1);</t>
  </si>
  <si>
    <t>select ?</t>
  </si>
  <si>
    <t>EMPTY</t>
  </si>
  <si>
    <t>ERROR</t>
  </si>
  <si>
    <t>select array_value(1, 2, 3) as my_column;</t>
  </si>
  <si>
    <t>select 1;</t>
  </si>
  <si>
    <t>DUCKDB.EXEC</t>
  </si>
  <si>
    <t>DUCKDB.EXEC.ASYNC</t>
  </si>
  <si>
    <t>DUCKDB.EXECX</t>
  </si>
  <si>
    <t>DUCKDB.EXECX.ASYNC</t>
  </si>
  <si>
    <t>create table t as
select * from range(10);
select count(*)
from 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</si>
</sst>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[$-F400]h:mm:ss\ AM/PM"/>
    <numFmt numFmtId="167" formatCode="dd/mm/yyyy\ hh:mm:ss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onsolas"/>
      <family val="3"/>
    </font>
    <font>
      <sz val="11"/>
      <color rgb="FFFF0000"/>
      <name val="Consolas"/>
      <family val="3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14" fontId="2" fillId="0" borderId="0" xfId="0" applyNumberFormat="1" applyFont="1"/>
    <xf numFmtId="166" fontId="2" fillId="0" borderId="0" xfId="0" applyNumberFormat="1" applyFont="1"/>
    <xf numFmtId="167" fontId="2" fillId="0" borderId="0" xfId="0" applyNumberFormat="1" applyFont="1"/>
    <xf numFmtId="0" fontId="1" fillId="0" borderId="0" xfId="0" applyFont="1"/>
    <xf numFmtId="0" fontId="4" fillId="0" borderId="0" xfId="0" applyFont="1"/>
    <xf numFmtId="14" fontId="0" fillId="0" borderId="0" xfId="0" applyNumberFormat="1"/>
    <xf numFmtId="0" fontId="0" fillId="0" borderId="0" xfId="0" applyNumberFormat="1"/>
    <xf numFmtId="21" fontId="0" fillId="0" borderId="0" xfId="0" applyNumberFormat="1"/>
    <xf numFmtId="166" fontId="0" fillId="0" borderId="0" xfId="0" applyNumberFormat="1"/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58680-0ED5-4EFA-AB03-B446D1F523DD}">
  <dimension ref="A1:B110"/>
  <sheetViews>
    <sheetView tabSelected="1" workbookViewId="0">
      <selection activeCell="B19" sqref="B19"/>
    </sheetView>
  </sheetViews>
  <sheetFormatPr defaultRowHeight="14.4" x14ac:dyDescent="0.3"/>
  <cols>
    <col min="1" max="1" width="26" bestFit="1" customWidth="1"/>
    <col min="2" max="2" width="72.6640625" style="2" bestFit="1" customWidth="1"/>
    <col min="3" max="3" width="19.33203125" bestFit="1" customWidth="1"/>
    <col min="4" max="4" width="25.77734375" customWidth="1"/>
    <col min="7" max="7" width="38.109375" customWidth="1"/>
  </cols>
  <sheetData>
    <row r="1" spans="1:2" x14ac:dyDescent="0.3">
      <c r="A1" t="s">
        <v>1</v>
      </c>
      <c r="B1" s="3" t="s">
        <v>0</v>
      </c>
    </row>
    <row r="2" spans="1:2" x14ac:dyDescent="0.3">
      <c r="B2" s="2" t="str" cm="1">
        <f t="array" ref="B2:B3">_xll.DUCKDB.EXEC(B1)</f>
        <v>CAST(1 AS "TINYINT")</v>
      </c>
    </row>
    <row r="3" spans="1:2" x14ac:dyDescent="0.3">
      <c r="B3" s="2">
        <v>1</v>
      </c>
    </row>
    <row r="5" spans="1:2" x14ac:dyDescent="0.3">
      <c r="A5" t="s">
        <v>2</v>
      </c>
      <c r="B5" s="3" t="s">
        <v>3</v>
      </c>
    </row>
    <row r="6" spans="1:2" x14ac:dyDescent="0.3">
      <c r="B6" s="2" t="str" cm="1">
        <f t="array" ref="B6:B7">_xll.DUCKDB.EXEC(B5)</f>
        <v>CAST(1 AS "UTINYINT")</v>
      </c>
    </row>
    <row r="7" spans="1:2" x14ac:dyDescent="0.3">
      <c r="B7" s="2">
        <v>1</v>
      </c>
    </row>
    <row r="9" spans="1:2" x14ac:dyDescent="0.3">
      <c r="A9" t="s">
        <v>4</v>
      </c>
      <c r="B9" s="3" t="s">
        <v>6</v>
      </c>
    </row>
    <row r="10" spans="1:2" x14ac:dyDescent="0.3">
      <c r="B10" s="2" t="str" cm="1">
        <f t="array" ref="B10:B11">_xll.DUCKDB.EXEC(B9)</f>
        <v>CAST(1 AS SMALLINT)</v>
      </c>
    </row>
    <row r="11" spans="1:2" x14ac:dyDescent="0.3">
      <c r="B11" s="2">
        <v>1</v>
      </c>
    </row>
    <row r="13" spans="1:2" x14ac:dyDescent="0.3">
      <c r="A13" t="s">
        <v>5</v>
      </c>
      <c r="B13" s="3" t="s">
        <v>7</v>
      </c>
    </row>
    <row r="14" spans="1:2" x14ac:dyDescent="0.3">
      <c r="B14" s="2" t="str" cm="1">
        <f t="array" ref="B14:B15">_xll.DUCKDB.EXEC(B13)</f>
        <v>CAST(1 AS "USMALLINT")</v>
      </c>
    </row>
    <row r="15" spans="1:2" x14ac:dyDescent="0.3">
      <c r="B15" s="2">
        <v>1</v>
      </c>
    </row>
    <row r="17" spans="1:2" x14ac:dyDescent="0.3">
      <c r="A17" t="s">
        <v>8</v>
      </c>
      <c r="B17" s="3" t="s">
        <v>10</v>
      </c>
    </row>
    <row r="18" spans="1:2" x14ac:dyDescent="0.3">
      <c r="B18" s="2" t="str" cm="1">
        <f t="array" ref="B18:B19">_xll.DUCKDB.EXEC(B17)</f>
        <v>CAST(1 AS INTEGER)</v>
      </c>
    </row>
    <row r="19" spans="1:2" x14ac:dyDescent="0.3">
      <c r="B19" s="2">
        <v>1</v>
      </c>
    </row>
    <row r="21" spans="1:2" x14ac:dyDescent="0.3">
      <c r="A21" t="s">
        <v>9</v>
      </c>
      <c r="B21" s="3" t="s">
        <v>11</v>
      </c>
    </row>
    <row r="22" spans="1:2" x14ac:dyDescent="0.3">
      <c r="B22" s="2" t="str" cm="1">
        <f t="array" ref="B22:B23">_xll.DUCKDB.EXEC(B21)</f>
        <v>CAST(1 AS "UINTEGER")</v>
      </c>
    </row>
    <row r="23" spans="1:2" x14ac:dyDescent="0.3">
      <c r="B23" s="2">
        <v>1</v>
      </c>
    </row>
    <row r="25" spans="1:2" x14ac:dyDescent="0.3">
      <c r="A25" t="s">
        <v>20</v>
      </c>
      <c r="B25" s="3" t="s">
        <v>22</v>
      </c>
    </row>
    <row r="26" spans="1:2" x14ac:dyDescent="0.3">
      <c r="B26" s="2" t="str" cm="1">
        <f t="array" ref="B26:B27">_xll.DUCKDB.EXEC(B25)</f>
        <v>CAST(1 AS BIGINT)</v>
      </c>
    </row>
    <row r="27" spans="1:2" x14ac:dyDescent="0.3">
      <c r="B27" s="2">
        <v>1</v>
      </c>
    </row>
    <row r="29" spans="1:2" x14ac:dyDescent="0.3">
      <c r="A29" t="s">
        <v>21</v>
      </c>
      <c r="B29" s="3" t="s">
        <v>23</v>
      </c>
    </row>
    <row r="30" spans="1:2" x14ac:dyDescent="0.3">
      <c r="B30" s="2" t="str" cm="1">
        <f t="array" ref="B30:B31">_xll.DUCKDB.EXEC(B29)</f>
        <v>CAST(1 AS "UBIGINT")</v>
      </c>
    </row>
    <row r="31" spans="1:2" x14ac:dyDescent="0.3">
      <c r="B31" s="2">
        <v>1</v>
      </c>
    </row>
    <row r="33" spans="1:2" x14ac:dyDescent="0.3">
      <c r="A33" t="s">
        <v>24</v>
      </c>
      <c r="B33" s="3" t="s">
        <v>26</v>
      </c>
    </row>
    <row r="34" spans="1:2" x14ac:dyDescent="0.3">
      <c r="B34" s="2" t="str" cm="1">
        <f t="array" ref="B34:B35">_xll.DUCKDB.EXEC(B33)</f>
        <v>CAST(1 AS "HUGEINT")</v>
      </c>
    </row>
    <row r="35" spans="1:2" x14ac:dyDescent="0.3">
      <c r="B35" s="2">
        <v>1</v>
      </c>
    </row>
    <row r="37" spans="1:2" x14ac:dyDescent="0.3">
      <c r="A37" t="s">
        <v>25</v>
      </c>
      <c r="B37" s="3" t="s">
        <v>27</v>
      </c>
    </row>
    <row r="38" spans="1:2" x14ac:dyDescent="0.3">
      <c r="B38" s="2" t="str" cm="1">
        <f t="array" ref="B38:B39">_xll.DUCKDB.EXEC(B37)</f>
        <v>CAST(1 AS "UHUGEINT")</v>
      </c>
    </row>
    <row r="39" spans="1:2" x14ac:dyDescent="0.3">
      <c r="B39" s="2">
        <v>1</v>
      </c>
    </row>
    <row r="41" spans="1:2" x14ac:dyDescent="0.3">
      <c r="A41" t="s">
        <v>13</v>
      </c>
      <c r="B41" s="3" t="s">
        <v>12</v>
      </c>
    </row>
    <row r="42" spans="1:2" x14ac:dyDescent="0.3">
      <c r="B42" s="2" t="str" cm="1">
        <f t="array" ref="B42:B43">_xll.DUCKDB.EXEC(B41)</f>
        <v>CAST('t' AS BOOLEAN)</v>
      </c>
    </row>
    <row r="43" spans="1:2" x14ac:dyDescent="0.3">
      <c r="B43" s="2" t="b">
        <v>1</v>
      </c>
    </row>
    <row r="45" spans="1:2" x14ac:dyDescent="0.3">
      <c r="A45" t="s">
        <v>14</v>
      </c>
      <c r="B45" s="3" t="s">
        <v>15</v>
      </c>
    </row>
    <row r="46" spans="1:2" x14ac:dyDescent="0.3">
      <c r="B46" s="2" t="str" cm="1">
        <f t="array" ref="B46:B47">_xll.DUCKDB.EXEC(B45)</f>
        <v>'abc'</v>
      </c>
    </row>
    <row r="47" spans="1:2" x14ac:dyDescent="0.3">
      <c r="B47" s="2" t="str">
        <v>abc</v>
      </c>
    </row>
    <row r="49" spans="1:2" x14ac:dyDescent="0.3">
      <c r="A49" t="s">
        <v>16</v>
      </c>
      <c r="B49" s="3" t="s">
        <v>17</v>
      </c>
    </row>
    <row r="50" spans="1:2" x14ac:dyDescent="0.3">
      <c r="B50" s="2" t="str" cm="1">
        <f t="array" ref="B50:B51">_xll.DUCKDB.EXEC(B49)</f>
        <v>CAST(1.2 AS FLOAT)</v>
      </c>
    </row>
    <row r="51" spans="1:2" x14ac:dyDescent="0.3">
      <c r="B51" s="2">
        <v>1.2000000476837158</v>
      </c>
    </row>
    <row r="53" spans="1:2" x14ac:dyDescent="0.3">
      <c r="A53" t="s">
        <v>18</v>
      </c>
      <c r="B53" s="3" t="s">
        <v>19</v>
      </c>
    </row>
    <row r="54" spans="1:2" x14ac:dyDescent="0.3">
      <c r="B54" s="2" t="str" cm="1">
        <f t="array" ref="B54:B55">_xll.DUCKDB.EXEC(B53)</f>
        <v>CAST(1.2 AS "DOUBLE")</v>
      </c>
    </row>
    <row r="55" spans="1:2" x14ac:dyDescent="0.3">
      <c r="B55" s="2">
        <v>1.2</v>
      </c>
    </row>
    <row r="57" spans="1:2" x14ac:dyDescent="0.3">
      <c r="A57" t="s">
        <v>28</v>
      </c>
      <c r="B57" s="3" t="s">
        <v>29</v>
      </c>
    </row>
    <row r="58" spans="1:2" x14ac:dyDescent="0.3">
      <c r="B58" s="2" t="str" cm="1">
        <f t="array" ref="B58:B59">_xll.DUCKDB.EXEC(B57)</f>
        <v>CAST(1.2 AS DECIMAL(4, 2))</v>
      </c>
    </row>
    <row r="59" spans="1:2" x14ac:dyDescent="0.3">
      <c r="B59" s="2">
        <v>1.2</v>
      </c>
    </row>
    <row r="61" spans="1:2" x14ac:dyDescent="0.3">
      <c r="A61" t="s">
        <v>30</v>
      </c>
      <c r="B61" s="3" t="s">
        <v>31</v>
      </c>
    </row>
    <row r="62" spans="1:2" x14ac:dyDescent="0.3">
      <c r="B62" s="2" t="str" cm="1">
        <f t="array" ref="B62:B63">_xll.DUCKDB.EXEC(B61)</f>
        <v>CAST(1.2 AS DECIMAL(9, 2))</v>
      </c>
    </row>
    <row r="63" spans="1:2" x14ac:dyDescent="0.3">
      <c r="B63" s="2">
        <v>1.2</v>
      </c>
    </row>
    <row r="65" spans="1:2" x14ac:dyDescent="0.3">
      <c r="A65" t="s">
        <v>32</v>
      </c>
      <c r="B65" s="3" t="s">
        <v>33</v>
      </c>
    </row>
    <row r="66" spans="1:2" x14ac:dyDescent="0.3">
      <c r="B66" s="2" t="str" cm="1">
        <f t="array" ref="B66:B67">_xll.DUCKDB.EXEC(B65)</f>
        <v>CAST(1.2 AS DECIMAL(18, 2))</v>
      </c>
    </row>
    <row r="67" spans="1:2" x14ac:dyDescent="0.3">
      <c r="B67" s="2">
        <v>1.2</v>
      </c>
    </row>
    <row r="69" spans="1:2" x14ac:dyDescent="0.3">
      <c r="A69" t="s">
        <v>34</v>
      </c>
      <c r="B69" s="3" t="s">
        <v>35</v>
      </c>
    </row>
    <row r="70" spans="1:2" x14ac:dyDescent="0.3">
      <c r="B70" s="2" t="str" cm="1">
        <f t="array" ref="B70:B71">_xll.DUCKDB.EXEC(B69)</f>
        <v>CAST(1.2 AS DECIMAL(38, 2))</v>
      </c>
    </row>
    <row r="71" spans="1:2" x14ac:dyDescent="0.3">
      <c r="B71" s="2">
        <v>1.2</v>
      </c>
    </row>
    <row r="73" spans="1:2" x14ac:dyDescent="0.3">
      <c r="A73" t="s">
        <v>36</v>
      </c>
      <c r="B73" s="3" t="s">
        <v>37</v>
      </c>
    </row>
    <row r="74" spans="1:2" x14ac:dyDescent="0.3">
      <c r="B74" s="2" t="str" cm="1">
        <f t="array" ref="B74:B75">_xll.DUCKDB.EXEC(B73)</f>
        <v>CAST('2026-12-31' AS "DATE")</v>
      </c>
    </row>
    <row r="75" spans="1:2" x14ac:dyDescent="0.3">
      <c r="B75" s="4">
        <v>46387</v>
      </c>
    </row>
    <row r="77" spans="1:2" x14ac:dyDescent="0.3">
      <c r="A77" t="s">
        <v>38</v>
      </c>
      <c r="B77" s="3" t="s">
        <v>39</v>
      </c>
    </row>
    <row r="78" spans="1:2" x14ac:dyDescent="0.3">
      <c r="B78" s="2" t="str" cm="1">
        <f t="array" ref="B78:B79">_xll.DUCKDB.EXEC(B77)</f>
        <v>CAST('09:30:45' AS TIME)</v>
      </c>
    </row>
    <row r="79" spans="1:2" x14ac:dyDescent="0.3">
      <c r="B79" s="5">
        <v>0.39635416666666667</v>
      </c>
    </row>
    <row r="81" spans="1:2" x14ac:dyDescent="0.3">
      <c r="A81" t="s">
        <v>40</v>
      </c>
      <c r="B81" s="3" t="s">
        <v>41</v>
      </c>
    </row>
    <row r="82" spans="1:2" x14ac:dyDescent="0.3">
      <c r="B82" s="2" t="str" cm="1">
        <f t="array" ref="B82:B83">_xll.DUCKDB.EXEC(B81)</f>
        <v>CAST('09:30:45+07:00' AS "TIME WITH TIME ZONE")</v>
      </c>
    </row>
    <row r="83" spans="1:2" x14ac:dyDescent="0.3">
      <c r="B83" s="5">
        <v>0.39635416666666667</v>
      </c>
    </row>
    <row r="85" spans="1:2" x14ac:dyDescent="0.3">
      <c r="A85" t="s">
        <v>42</v>
      </c>
      <c r="B85" s="3" t="s">
        <v>43</v>
      </c>
    </row>
    <row r="86" spans="1:2" x14ac:dyDescent="0.3">
      <c r="B86" s="2" t="str" cm="1">
        <f t="array" ref="B86:B87">_xll.DUCKDB.EXEC(B85)</f>
        <v>CAST('2026-12-31 09:30:45' AS TIMESTAMP)</v>
      </c>
    </row>
    <row r="87" spans="1:2" x14ac:dyDescent="0.3">
      <c r="B87" s="6">
        <v>46387.396354166667</v>
      </c>
    </row>
    <row r="89" spans="1:2" x14ac:dyDescent="0.3">
      <c r="A89" t="s">
        <v>44</v>
      </c>
      <c r="B89" s="3" t="s">
        <v>45</v>
      </c>
    </row>
    <row r="90" spans="1:2" x14ac:dyDescent="0.3">
      <c r="B90" s="2" t="str" cm="1">
        <f t="array" ref="B90:B91">_xll.DUCKDB.EXEC(B89)</f>
        <v>CAST('2026-12-31 09:30:45+07:00' AS "TIMESTAMP WITH TIME ZONE")</v>
      </c>
    </row>
    <row r="91" spans="1:2" x14ac:dyDescent="0.3">
      <c r="B91" s="6">
        <v>46387.104687500003</v>
      </c>
    </row>
    <row r="93" spans="1:2" x14ac:dyDescent="0.3">
      <c r="A93" t="s">
        <v>46</v>
      </c>
      <c r="B93" s="3" t="s">
        <v>47</v>
      </c>
    </row>
    <row r="94" spans="1:2" x14ac:dyDescent="0.3">
      <c r="B94" s="2" t="str" cm="1">
        <f t="array" ref="B94:B95">_xll.DUCKDB.EXEC(B93)</f>
        <v>CAST('2026-12-31 09:30:45' AS "TIMESTAMP_S")</v>
      </c>
    </row>
    <row r="95" spans="1:2" x14ac:dyDescent="0.3">
      <c r="B95" s="6">
        <v>46387.396354166667</v>
      </c>
    </row>
    <row r="97" spans="1:2" x14ac:dyDescent="0.3">
      <c r="A97" t="s">
        <v>48</v>
      </c>
      <c r="B97" s="3" t="s">
        <v>49</v>
      </c>
    </row>
    <row r="98" spans="1:2" x14ac:dyDescent="0.3">
      <c r="B98" s="2" t="str" cm="1">
        <f t="array" ref="B98:B99">_xll.DUCKDB.EXEC(B97)</f>
        <v>CAST('2026-12-31 09:30:45' AS "TIMESTAMP_MS")</v>
      </c>
    </row>
    <row r="99" spans="1:2" x14ac:dyDescent="0.3">
      <c r="B99" s="6">
        <v>46387.396354166667</v>
      </c>
    </row>
    <row r="101" spans="1:2" x14ac:dyDescent="0.3">
      <c r="A101" t="s">
        <v>50</v>
      </c>
      <c r="B101" s="3" t="s">
        <v>51</v>
      </c>
    </row>
    <row r="102" spans="1:2" x14ac:dyDescent="0.3">
      <c r="B102" s="2" t="str" cm="1">
        <f t="array" ref="B102:B103">_xll.DUCKDB.EXEC(B101)</f>
        <v>CAST('2026-12-31 09:30:45' AS "TIMESTAMP_NS")</v>
      </c>
    </row>
    <row r="103" spans="1:2" x14ac:dyDescent="0.3">
      <c r="B103" s="6">
        <v>46387.396354166667</v>
      </c>
    </row>
    <row r="105" spans="1:2" x14ac:dyDescent="0.3">
      <c r="A105" t="s">
        <v>52</v>
      </c>
      <c r="B105" s="3" t="s">
        <v>53</v>
      </c>
    </row>
    <row r="106" spans="1:2" x14ac:dyDescent="0.3">
      <c r="B106" s="2" t="str" cm="1">
        <f t="array" ref="B106:B107">_xll.DUCKDB.EXEC(B105)</f>
        <v>NULL</v>
      </c>
    </row>
    <row r="107" spans="1:2" x14ac:dyDescent="0.3">
      <c r="B107" s="2" t="e">
        <v>#N/A</v>
      </c>
    </row>
    <row r="109" spans="1:2" x14ac:dyDescent="0.3">
      <c r="A109" t="s">
        <v>54</v>
      </c>
      <c r="B109" s="3" t="s">
        <v>85</v>
      </c>
    </row>
    <row r="110" spans="1:2" x14ac:dyDescent="0.3">
      <c r="B110" s="2" t="str" cm="1">
        <f t="array" ref="B110">_xll.DUCKDB.EXEC(B109)</f>
        <v>Error fetching data: Column my_column: Unsupported DuckDB type. Convert the value to VARCHAR before returning it to Excel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A3194-2367-4BAA-BC32-C926CD8293A5}">
  <dimension ref="A1:G62"/>
  <sheetViews>
    <sheetView workbookViewId="0">
      <selection activeCell="A46" sqref="A46"/>
    </sheetView>
  </sheetViews>
  <sheetFormatPr defaultRowHeight="14.4" x14ac:dyDescent="0.3"/>
  <cols>
    <col min="1" max="1" width="48.77734375" bestFit="1" customWidth="1"/>
    <col min="2" max="2" width="13.77734375" customWidth="1"/>
    <col min="3" max="3" width="14.5546875" customWidth="1"/>
    <col min="4" max="4" width="20.33203125" customWidth="1"/>
    <col min="5" max="5" width="14.77734375" customWidth="1"/>
    <col min="6" max="6" width="18.109375" customWidth="1"/>
  </cols>
  <sheetData>
    <row r="1" spans="1:7" x14ac:dyDescent="0.3">
      <c r="A1" t="s">
        <v>55</v>
      </c>
      <c r="B1" t="s">
        <v>73</v>
      </c>
      <c r="C1" t="s">
        <v>74</v>
      </c>
      <c r="D1" t="s">
        <v>56</v>
      </c>
      <c r="E1" t="s">
        <v>58</v>
      </c>
      <c r="F1" t="s">
        <v>59</v>
      </c>
    </row>
    <row r="2" spans="1:7" x14ac:dyDescent="0.3">
      <c r="B2">
        <v>1</v>
      </c>
      <c r="C2">
        <v>1.2</v>
      </c>
      <c r="D2" t="s">
        <v>57</v>
      </c>
      <c r="F2" t="e">
        <f>1/0</f>
        <v>#DIV/0!</v>
      </c>
    </row>
    <row r="3" spans="1:7" x14ac:dyDescent="0.3">
      <c r="B3">
        <v>1.2</v>
      </c>
      <c r="C3">
        <v>1</v>
      </c>
      <c r="D3">
        <v>1.2</v>
      </c>
    </row>
    <row r="4" spans="1:7" x14ac:dyDescent="0.3">
      <c r="B4">
        <v>1.3</v>
      </c>
      <c r="C4" t="s">
        <v>57</v>
      </c>
      <c r="D4">
        <v>1</v>
      </c>
    </row>
    <row r="6" spans="1:7" x14ac:dyDescent="0.3">
      <c r="A6" t="s">
        <v>63</v>
      </c>
      <c r="B6" s="7" t="s">
        <v>60</v>
      </c>
    </row>
    <row r="7" spans="1:7" x14ac:dyDescent="0.3">
      <c r="B7" t="str" cm="1">
        <f t="array" ref="B7:F8">_xll.DUCKDB.EXEC(B6,$B$1:$F$2)</f>
        <v>NUMBER_1</v>
      </c>
      <c r="C7" t="str">
        <v>NUMBER_2</v>
      </c>
      <c r="D7" t="str">
        <v>STRING_COL</v>
      </c>
      <c r="E7" t="str">
        <v>EMPTY_COL</v>
      </c>
      <c r="F7" t="str">
        <v>ERROR_COL</v>
      </c>
    </row>
    <row r="8" spans="1:7" x14ac:dyDescent="0.3">
      <c r="B8">
        <v>1</v>
      </c>
      <c r="C8">
        <v>1.2</v>
      </c>
      <c r="D8" t="str">
        <v>abc</v>
      </c>
      <c r="E8" t="e">
        <v>#N/A</v>
      </c>
      <c r="F8" t="e">
        <v>#N/A</v>
      </c>
    </row>
    <row r="10" spans="1:7" x14ac:dyDescent="0.3">
      <c r="B10" s="7" t="s">
        <v>61</v>
      </c>
    </row>
    <row r="11" spans="1:7" x14ac:dyDescent="0.3">
      <c r="B11" t="str" cm="1">
        <f t="array" ref="B11:G16">_xll.DUCKDB.EXEC(B10,$B$1:$F$2)</f>
        <v>column_name</v>
      </c>
      <c r="C11" t="str">
        <v>column_type</v>
      </c>
      <c r="D11" t="str">
        <v>null</v>
      </c>
      <c r="E11" t="str">
        <v>key</v>
      </c>
      <c r="F11" t="str">
        <v>default</v>
      </c>
      <c r="G11" t="str">
        <v>extra</v>
      </c>
    </row>
    <row r="12" spans="1:7" x14ac:dyDescent="0.3">
      <c r="B12" t="str">
        <v>NUMBER_1</v>
      </c>
      <c r="C12" t="str">
        <v>INTEGER</v>
      </c>
      <c r="D12" t="str">
        <v>YES</v>
      </c>
      <c r="E12" t="e">
        <v>#N/A</v>
      </c>
      <c r="F12" t="e">
        <v>#N/A</v>
      </c>
      <c r="G12" t="e">
        <v>#N/A</v>
      </c>
    </row>
    <row r="13" spans="1:7" x14ac:dyDescent="0.3">
      <c r="B13" t="str">
        <v>NUMBER_2</v>
      </c>
      <c r="C13" t="str">
        <v>DOUBLE</v>
      </c>
      <c r="D13" t="str">
        <v>YES</v>
      </c>
      <c r="E13" t="e">
        <v>#N/A</v>
      </c>
      <c r="F13" t="e">
        <v>#N/A</v>
      </c>
      <c r="G13" t="e">
        <v>#N/A</v>
      </c>
    </row>
    <row r="14" spans="1:7" x14ac:dyDescent="0.3">
      <c r="B14" t="str">
        <v>STRING_COL</v>
      </c>
      <c r="C14" t="str">
        <v>VARCHAR</v>
      </c>
      <c r="D14" t="str">
        <v>YES</v>
      </c>
      <c r="E14" t="e">
        <v>#N/A</v>
      </c>
      <c r="F14" t="e">
        <v>#N/A</v>
      </c>
      <c r="G14" t="e">
        <v>#N/A</v>
      </c>
    </row>
    <row r="15" spans="1:7" x14ac:dyDescent="0.3">
      <c r="B15" t="str">
        <v>EMPTY_COL</v>
      </c>
      <c r="C15" t="str">
        <v>VARCHAR</v>
      </c>
      <c r="D15" t="str">
        <v>YES</v>
      </c>
      <c r="E15" t="e">
        <v>#N/A</v>
      </c>
      <c r="F15" t="e">
        <v>#N/A</v>
      </c>
      <c r="G15" t="e">
        <v>#N/A</v>
      </c>
    </row>
    <row r="16" spans="1:7" x14ac:dyDescent="0.3">
      <c r="B16" t="str">
        <v>ERROR_COL</v>
      </c>
      <c r="C16" t="str">
        <v>VARCHAR</v>
      </c>
      <c r="D16" t="str">
        <v>YES</v>
      </c>
      <c r="E16" t="e">
        <v>#N/A</v>
      </c>
      <c r="F16" t="e">
        <v>#N/A</v>
      </c>
      <c r="G16" t="e">
        <v>#N/A</v>
      </c>
    </row>
    <row r="18" spans="1:7" x14ac:dyDescent="0.3">
      <c r="A18" t="s">
        <v>64</v>
      </c>
      <c r="B18" s="7" t="s">
        <v>60</v>
      </c>
    </row>
    <row r="19" spans="1:7" x14ac:dyDescent="0.3">
      <c r="B19" t="str" cm="1">
        <f t="array" ref="B19:F21">_xll.DUCKDB.EXEC(B18,$B$1:$F$3)</f>
        <v>NUMBER_1</v>
      </c>
      <c r="C19" t="str">
        <v>NUMBER_2</v>
      </c>
      <c r="D19" t="str">
        <v>STRING_COL</v>
      </c>
      <c r="E19" t="str">
        <v>EMPTY_COL</v>
      </c>
      <c r="F19" t="str">
        <v>ERROR_COL</v>
      </c>
    </row>
    <row r="20" spans="1:7" x14ac:dyDescent="0.3">
      <c r="B20">
        <v>1</v>
      </c>
      <c r="C20">
        <v>1.2</v>
      </c>
      <c r="D20" t="str">
        <v>abc</v>
      </c>
      <c r="E20" t="e">
        <v>#N/A</v>
      </c>
      <c r="F20" t="e">
        <v>#N/A</v>
      </c>
    </row>
    <row r="21" spans="1:7" x14ac:dyDescent="0.3">
      <c r="B21">
        <v>1.2</v>
      </c>
      <c r="C21">
        <v>1</v>
      </c>
      <c r="D21" t="str">
        <v>1.2</v>
      </c>
      <c r="E21" t="e">
        <v>#N/A</v>
      </c>
      <c r="F21" t="e">
        <v>#N/A</v>
      </c>
    </row>
    <row r="23" spans="1:7" x14ac:dyDescent="0.3">
      <c r="B23" s="7" t="s">
        <v>61</v>
      </c>
    </row>
    <row r="24" spans="1:7" x14ac:dyDescent="0.3">
      <c r="B24" t="str" cm="1">
        <f t="array" ref="B24:G29">_xll.DUCKDB.EXEC(B23,$B$1:$F$3)</f>
        <v>column_name</v>
      </c>
      <c r="C24" t="str">
        <v>column_type</v>
      </c>
      <c r="D24" t="str">
        <v>null</v>
      </c>
      <c r="E24" t="str">
        <v>key</v>
      </c>
      <c r="F24" t="str">
        <v>default</v>
      </c>
      <c r="G24" t="str">
        <v>extra</v>
      </c>
    </row>
    <row r="25" spans="1:7" x14ac:dyDescent="0.3">
      <c r="A25" s="8" t="s">
        <v>65</v>
      </c>
      <c r="B25" t="str">
        <v>NUMBER_1</v>
      </c>
      <c r="C25" t="str">
        <v>DOUBLE</v>
      </c>
      <c r="D25" t="str">
        <v>YES</v>
      </c>
      <c r="E25" t="e">
        <v>#N/A</v>
      </c>
      <c r="F25" t="e">
        <v>#N/A</v>
      </c>
      <c r="G25" t="e">
        <v>#N/A</v>
      </c>
    </row>
    <row r="26" spans="1:7" x14ac:dyDescent="0.3">
      <c r="B26" t="str">
        <v>NUMBER_2</v>
      </c>
      <c r="C26" t="str">
        <v>DOUBLE</v>
      </c>
      <c r="D26" t="str">
        <v>YES</v>
      </c>
      <c r="E26" t="e">
        <v>#N/A</v>
      </c>
      <c r="F26" t="e">
        <v>#N/A</v>
      </c>
      <c r="G26" t="e">
        <v>#N/A</v>
      </c>
    </row>
    <row r="27" spans="1:7" x14ac:dyDescent="0.3">
      <c r="B27" t="str">
        <v>STRING_COL</v>
      </c>
      <c r="C27" t="str">
        <v>VARCHAR</v>
      </c>
      <c r="D27" t="str">
        <v>YES</v>
      </c>
      <c r="E27" t="e">
        <v>#N/A</v>
      </c>
      <c r="F27" t="e">
        <v>#N/A</v>
      </c>
      <c r="G27" t="e">
        <v>#N/A</v>
      </c>
    </row>
    <row r="28" spans="1:7" x14ac:dyDescent="0.3">
      <c r="B28" t="str">
        <v>EMPTY_COL</v>
      </c>
      <c r="C28" t="str">
        <v>VARCHAR</v>
      </c>
      <c r="D28" t="str">
        <v>YES</v>
      </c>
      <c r="E28" t="e">
        <v>#N/A</v>
      </c>
      <c r="F28" t="e">
        <v>#N/A</v>
      </c>
      <c r="G28" t="e">
        <v>#N/A</v>
      </c>
    </row>
    <row r="29" spans="1:7" x14ac:dyDescent="0.3">
      <c r="B29" t="str">
        <v>ERROR_COL</v>
      </c>
      <c r="C29" t="str">
        <v>VARCHAR</v>
      </c>
      <c r="D29" t="str">
        <v>YES</v>
      </c>
      <c r="E29" t="e">
        <v>#N/A</v>
      </c>
      <c r="F29" t="e">
        <v>#N/A</v>
      </c>
      <c r="G29" t="e">
        <v>#N/A</v>
      </c>
    </row>
    <row r="31" spans="1:7" x14ac:dyDescent="0.3">
      <c r="A31" t="s">
        <v>67</v>
      </c>
      <c r="B31" s="7" t="s">
        <v>60</v>
      </c>
    </row>
    <row r="32" spans="1:7" x14ac:dyDescent="0.3">
      <c r="B32" t="str" cm="1">
        <f t="array" ref="B32:F35">_xll.DUCKDB.EXEC(B31,$B$1:$F$4)</f>
        <v>NUMBER_1</v>
      </c>
      <c r="C32" t="str">
        <v>NUMBER_2</v>
      </c>
      <c r="D32" t="str">
        <v>STRING_COL</v>
      </c>
      <c r="E32" t="str">
        <v>EMPTY_COL</v>
      </c>
      <c r="F32" t="str">
        <v>ERROR_COL</v>
      </c>
    </row>
    <row r="33" spans="1:7" x14ac:dyDescent="0.3">
      <c r="B33">
        <v>1</v>
      </c>
      <c r="C33" t="str">
        <v>1.2</v>
      </c>
      <c r="D33" t="str">
        <v>abc</v>
      </c>
      <c r="E33" t="e">
        <v>#N/A</v>
      </c>
      <c r="F33" t="e">
        <v>#N/A</v>
      </c>
    </row>
    <row r="34" spans="1:7" x14ac:dyDescent="0.3">
      <c r="B34">
        <v>1.2</v>
      </c>
      <c r="C34" t="str">
        <v>1</v>
      </c>
      <c r="D34" t="str">
        <v>1.2</v>
      </c>
      <c r="E34" t="e">
        <v>#N/A</v>
      </c>
      <c r="F34" t="e">
        <v>#N/A</v>
      </c>
    </row>
    <row r="35" spans="1:7" x14ac:dyDescent="0.3">
      <c r="B35">
        <v>1.3</v>
      </c>
      <c r="C35" t="str">
        <v>abc</v>
      </c>
      <c r="D35" t="str">
        <v>1</v>
      </c>
      <c r="E35" t="e">
        <v>#N/A</v>
      </c>
      <c r="F35" t="e">
        <v>#N/A</v>
      </c>
    </row>
    <row r="37" spans="1:7" x14ac:dyDescent="0.3">
      <c r="B37" s="7" t="s">
        <v>61</v>
      </c>
    </row>
    <row r="38" spans="1:7" x14ac:dyDescent="0.3">
      <c r="B38" t="str" cm="1">
        <f t="array" ref="B38:G43">_xll.DUCKDB.EXEC(B37,$B$1:$F$4)</f>
        <v>column_name</v>
      </c>
      <c r="C38" t="str">
        <v>column_type</v>
      </c>
      <c r="D38" t="str">
        <v>null</v>
      </c>
      <c r="E38" t="str">
        <v>key</v>
      </c>
      <c r="F38" t="str">
        <v>default</v>
      </c>
      <c r="G38" t="str">
        <v>extra</v>
      </c>
    </row>
    <row r="39" spans="1:7" x14ac:dyDescent="0.3">
      <c r="A39" s="8"/>
      <c r="B39" t="str">
        <v>NUMBER_1</v>
      </c>
      <c r="C39" t="str">
        <v>DOUBLE</v>
      </c>
      <c r="D39" t="str">
        <v>YES</v>
      </c>
      <c r="E39" t="e">
        <v>#N/A</v>
      </c>
      <c r="F39" t="e">
        <v>#N/A</v>
      </c>
      <c r="G39" t="e">
        <v>#N/A</v>
      </c>
    </row>
    <row r="40" spans="1:7" x14ac:dyDescent="0.3">
      <c r="A40" s="8" t="s">
        <v>66</v>
      </c>
      <c r="B40" t="str">
        <v>NUMBER_2</v>
      </c>
      <c r="C40" t="str">
        <v>VARCHAR</v>
      </c>
      <c r="D40" t="str">
        <v>YES</v>
      </c>
      <c r="E40" t="e">
        <v>#N/A</v>
      </c>
      <c r="F40" t="e">
        <v>#N/A</v>
      </c>
      <c r="G40" t="e">
        <v>#N/A</v>
      </c>
    </row>
    <row r="41" spans="1:7" x14ac:dyDescent="0.3">
      <c r="B41" t="str">
        <v>STRING_COL</v>
      </c>
      <c r="C41" t="str">
        <v>VARCHAR</v>
      </c>
      <c r="D41" t="str">
        <v>YES</v>
      </c>
      <c r="E41" t="e">
        <v>#N/A</v>
      </c>
      <c r="F41" t="e">
        <v>#N/A</v>
      </c>
      <c r="G41" t="e">
        <v>#N/A</v>
      </c>
    </row>
    <row r="42" spans="1:7" x14ac:dyDescent="0.3">
      <c r="B42" t="str">
        <v>EMPTY_COL</v>
      </c>
      <c r="C42" t="str">
        <v>VARCHAR</v>
      </c>
      <c r="D42" t="str">
        <v>YES</v>
      </c>
      <c r="E42" t="e">
        <v>#N/A</v>
      </c>
      <c r="F42" t="e">
        <v>#N/A</v>
      </c>
      <c r="G42" t="e">
        <v>#N/A</v>
      </c>
    </row>
    <row r="43" spans="1:7" x14ac:dyDescent="0.3">
      <c r="B43" t="str">
        <v>ERROR_COL</v>
      </c>
      <c r="C43" t="str">
        <v>VARCHAR</v>
      </c>
      <c r="D43" t="str">
        <v>YES</v>
      </c>
      <c r="E43" t="e">
        <v>#N/A</v>
      </c>
      <c r="F43" t="e">
        <v>#N/A</v>
      </c>
      <c r="G43" t="e">
        <v>#N/A</v>
      </c>
    </row>
    <row r="45" spans="1:7" x14ac:dyDescent="0.3">
      <c r="A45" t="s">
        <v>68</v>
      </c>
      <c r="B45" s="7" t="s">
        <v>62</v>
      </c>
    </row>
    <row r="46" spans="1:7" x14ac:dyDescent="0.3">
      <c r="B46" t="str" cm="1">
        <f t="array" ref="B46">_xll.DUCKDB.EXEC(B45,$B$1:$F$4)</f>
        <v>Invalid Input Error: Error scanning xlrange: Column NUMBER_1, row 3: Failed to convert to INTEGER</v>
      </c>
    </row>
    <row r="48" spans="1:7" x14ac:dyDescent="0.3">
      <c r="A48" t="s">
        <v>69</v>
      </c>
      <c r="B48" s="7" t="s">
        <v>70</v>
      </c>
    </row>
    <row r="49" spans="1:7" x14ac:dyDescent="0.3">
      <c r="B49" t="str" cm="1">
        <f t="array" ref="B49:G54">_xll.DUCKDB.EXEC(B48,$B$1:$F$4)</f>
        <v>column_name</v>
      </c>
      <c r="C49" t="str">
        <v>column_type</v>
      </c>
      <c r="D49" t="str">
        <v>null</v>
      </c>
      <c r="E49" t="str">
        <v>key</v>
      </c>
      <c r="F49" t="str">
        <v>default</v>
      </c>
      <c r="G49" t="str">
        <v>extra</v>
      </c>
    </row>
    <row r="50" spans="1:7" x14ac:dyDescent="0.3">
      <c r="B50" t="str">
        <v>NUMBER_1</v>
      </c>
      <c r="C50" t="str">
        <v>DOUBLE</v>
      </c>
      <c r="D50" t="str">
        <v>YES</v>
      </c>
      <c r="E50" t="e">
        <v>#N/A</v>
      </c>
      <c r="F50" t="e">
        <v>#N/A</v>
      </c>
      <c r="G50" t="e">
        <v>#N/A</v>
      </c>
    </row>
    <row r="51" spans="1:7" x14ac:dyDescent="0.3">
      <c r="B51" t="str">
        <v>NUMBER_2</v>
      </c>
      <c r="C51" t="str">
        <v>VARCHAR</v>
      </c>
      <c r="D51" t="str">
        <v>YES</v>
      </c>
      <c r="E51" t="e">
        <v>#N/A</v>
      </c>
      <c r="F51" t="e">
        <v>#N/A</v>
      </c>
      <c r="G51" t="e">
        <v>#N/A</v>
      </c>
    </row>
    <row r="52" spans="1:7" x14ac:dyDescent="0.3">
      <c r="B52" t="str">
        <v>STRING_COL</v>
      </c>
      <c r="C52" t="str">
        <v>VARCHAR</v>
      </c>
      <c r="D52" t="str">
        <v>YES</v>
      </c>
      <c r="E52" t="e">
        <v>#N/A</v>
      </c>
      <c r="F52" t="e">
        <v>#N/A</v>
      </c>
      <c r="G52" t="e">
        <v>#N/A</v>
      </c>
    </row>
    <row r="53" spans="1:7" x14ac:dyDescent="0.3">
      <c r="B53" t="str">
        <v>EMPTY_COL</v>
      </c>
      <c r="C53" t="str">
        <v>VARCHAR</v>
      </c>
      <c r="D53" t="str">
        <v>YES</v>
      </c>
      <c r="E53" t="e">
        <v>#N/A</v>
      </c>
      <c r="F53" t="e">
        <v>#N/A</v>
      </c>
      <c r="G53" t="e">
        <v>#N/A</v>
      </c>
    </row>
    <row r="54" spans="1:7" x14ac:dyDescent="0.3">
      <c r="B54" t="str">
        <v>ERROR_COL</v>
      </c>
      <c r="C54" t="str">
        <v>VARCHAR</v>
      </c>
      <c r="D54" t="str">
        <v>YES</v>
      </c>
      <c r="E54" t="e">
        <v>#N/A</v>
      </c>
      <c r="F54" t="e">
        <v>#N/A</v>
      </c>
      <c r="G54" t="e">
        <v>#N/A</v>
      </c>
    </row>
    <row r="56" spans="1:7" x14ac:dyDescent="0.3">
      <c r="A56" t="s">
        <v>71</v>
      </c>
      <c r="B56" s="7" t="s">
        <v>72</v>
      </c>
    </row>
    <row r="57" spans="1:7" x14ac:dyDescent="0.3">
      <c r="B57" t="str" cm="1">
        <f t="array" ref="B57:G62">_xll.DUCKDB.EXEC(B56,$B$1:$F$4)</f>
        <v>column_name</v>
      </c>
      <c r="C57" t="str">
        <v>column_type</v>
      </c>
      <c r="D57" t="str">
        <v>null</v>
      </c>
      <c r="E57" t="str">
        <v>key</v>
      </c>
      <c r="F57" t="str">
        <v>default</v>
      </c>
      <c r="G57" t="str">
        <v>extra</v>
      </c>
    </row>
    <row r="58" spans="1:7" x14ac:dyDescent="0.3">
      <c r="B58" t="str">
        <v>NUMBER_1</v>
      </c>
      <c r="C58" t="str">
        <v>VARCHAR</v>
      </c>
      <c r="D58" t="str">
        <v>YES</v>
      </c>
      <c r="E58" t="e">
        <v>#N/A</v>
      </c>
      <c r="F58" t="e">
        <v>#N/A</v>
      </c>
      <c r="G58" t="e">
        <v>#N/A</v>
      </c>
    </row>
    <row r="59" spans="1:7" x14ac:dyDescent="0.3">
      <c r="B59" t="str">
        <v>NUMBER_2</v>
      </c>
      <c r="C59" t="str">
        <v>VARCHAR</v>
      </c>
      <c r="D59" t="str">
        <v>YES</v>
      </c>
      <c r="E59" t="e">
        <v>#N/A</v>
      </c>
      <c r="F59" t="e">
        <v>#N/A</v>
      </c>
      <c r="G59" t="e">
        <v>#N/A</v>
      </c>
    </row>
    <row r="60" spans="1:7" x14ac:dyDescent="0.3">
      <c r="B60" t="str">
        <v>STRING_COL</v>
      </c>
      <c r="C60" t="str">
        <v>VARCHAR</v>
      </c>
      <c r="D60" t="str">
        <v>YES</v>
      </c>
      <c r="E60" t="e">
        <v>#N/A</v>
      </c>
      <c r="F60" t="e">
        <v>#N/A</v>
      </c>
      <c r="G60" t="e">
        <v>#N/A</v>
      </c>
    </row>
    <row r="61" spans="1:7" x14ac:dyDescent="0.3">
      <c r="B61" t="str">
        <v>EMPTY_COL</v>
      </c>
      <c r="C61" t="str">
        <v>VARCHAR</v>
      </c>
      <c r="D61" t="str">
        <v>YES</v>
      </c>
      <c r="E61" t="e">
        <v>#N/A</v>
      </c>
      <c r="F61" t="e">
        <v>#N/A</v>
      </c>
      <c r="G61" t="e">
        <v>#N/A</v>
      </c>
    </row>
    <row r="62" spans="1:7" x14ac:dyDescent="0.3">
      <c r="B62" t="str">
        <v>ERROR_COL</v>
      </c>
      <c r="C62" t="str">
        <v>VARCHAR</v>
      </c>
      <c r="D62" t="str">
        <v>YES</v>
      </c>
      <c r="E62" t="e">
        <v>#N/A</v>
      </c>
      <c r="F62" t="e">
        <v>#N/A</v>
      </c>
      <c r="G62" t="e">
        <v>#N/A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36AEC-DD0A-4797-B454-6E20C81CB53A}">
  <dimension ref="A1:G7"/>
  <sheetViews>
    <sheetView workbookViewId="0">
      <selection activeCell="B4" sqref="B4"/>
    </sheetView>
  </sheetViews>
  <sheetFormatPr defaultRowHeight="14.4" x14ac:dyDescent="0.3"/>
  <cols>
    <col min="1" max="1" width="20.44140625" customWidth="1"/>
    <col min="2" max="2" width="25.109375" customWidth="1"/>
    <col min="3" max="3" width="22.44140625" customWidth="1"/>
    <col min="4" max="4" width="24.109375" customWidth="1"/>
    <col min="7" max="7" width="10.5546875" bestFit="1" customWidth="1"/>
  </cols>
  <sheetData>
    <row r="1" spans="1:7" x14ac:dyDescent="0.3">
      <c r="A1" t="s">
        <v>55</v>
      </c>
      <c r="B1" t="s">
        <v>76</v>
      </c>
      <c r="C1" t="s">
        <v>77</v>
      </c>
      <c r="D1" t="s">
        <v>78</v>
      </c>
    </row>
    <row r="2" spans="1:7" x14ac:dyDescent="0.3">
      <c r="B2" s="9">
        <v>46387</v>
      </c>
      <c r="C2" s="11">
        <v>0.39635416666666667</v>
      </c>
      <c r="D2" s="6">
        <v>46387.396354166667</v>
      </c>
    </row>
    <row r="4" spans="1:7" x14ac:dyDescent="0.3">
      <c r="A4" t="s">
        <v>75</v>
      </c>
      <c r="B4" s="7" t="s">
        <v>79</v>
      </c>
    </row>
    <row r="5" spans="1:7" x14ac:dyDescent="0.3">
      <c r="B5" t="str" cm="1">
        <f t="array" ref="B5:D6">_xll.DUCKDB.EXEC(B4,B1:D2)</f>
        <v>CAST(xldate(date_col) AS VARCHAR)</v>
      </c>
      <c r="C5" t="str">
        <v>CAST(xltime(time_col) AS VARCHAR)</v>
      </c>
      <c r="D5" t="str">
        <v>CAST(xldatetime(datetime_col) AS VARCHAR)</v>
      </c>
    </row>
    <row r="6" spans="1:7" x14ac:dyDescent="0.3">
      <c r="B6" s="9" t="str">
        <v>2026-12-31</v>
      </c>
      <c r="C6" s="12" t="str">
        <v>09:30:45</v>
      </c>
      <c r="D6" s="6" t="str">
        <v>2026-12-31 09:30:45</v>
      </c>
    </row>
    <row r="7" spans="1:7" x14ac:dyDescent="0.3">
      <c r="G7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84BE2-F564-4E42-8CE8-BFC8C65E358F}">
  <dimension ref="A1:A4"/>
  <sheetViews>
    <sheetView workbookViewId="0">
      <selection activeCell="A3" sqref="A3"/>
    </sheetView>
  </sheetViews>
  <sheetFormatPr defaultRowHeight="14.4" x14ac:dyDescent="0.3"/>
  <cols>
    <col min="1" max="1" width="28.21875" bestFit="1" customWidth="1"/>
  </cols>
  <sheetData>
    <row r="1" spans="1:1" x14ac:dyDescent="0.3">
      <c r="A1" s="7" t="s">
        <v>80</v>
      </c>
    </row>
    <row r="2" spans="1:1" x14ac:dyDescent="0.3">
      <c r="A2" s="7" t="s">
        <v>81</v>
      </c>
    </row>
    <row r="3" spans="1:1" x14ac:dyDescent="0.3">
      <c r="A3" t="str" cm="1">
        <f t="array" ref="A3:A4">_xll.DUCKDB.EXECX(A1,A2)</f>
        <v>test_macro(1)</v>
      </c>
    </row>
    <row r="4" spans="1:1" x14ac:dyDescent="0.3">
      <c r="A4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E5724-67A3-4259-906B-37F92D367239}">
  <dimension ref="A1:B27"/>
  <sheetViews>
    <sheetView workbookViewId="0">
      <selection activeCell="B20" sqref="B20"/>
    </sheetView>
  </sheetViews>
  <sheetFormatPr defaultRowHeight="14.4" x14ac:dyDescent="0.3"/>
  <cols>
    <col min="1" max="1" width="11.88671875" customWidth="1"/>
    <col min="2" max="2" width="10.88671875" customWidth="1"/>
  </cols>
  <sheetData>
    <row r="1" spans="1:2" x14ac:dyDescent="0.3">
      <c r="A1" t="s">
        <v>73</v>
      </c>
      <c r="B1">
        <v>1</v>
      </c>
    </row>
    <row r="2" spans="1:2" x14ac:dyDescent="0.3">
      <c r="B2" s="7" t="s">
        <v>82</v>
      </c>
    </row>
    <row r="3" spans="1:2" x14ac:dyDescent="0.3">
      <c r="B3" t="str" cm="1">
        <f t="array" ref="B3:B4">_xll.DUCKDB.EXEC(B2,B1)</f>
        <v>$1</v>
      </c>
    </row>
    <row r="4" spans="1:2" x14ac:dyDescent="0.3">
      <c r="B4">
        <v>1</v>
      </c>
    </row>
    <row r="6" spans="1:2" x14ac:dyDescent="0.3">
      <c r="A6" t="s">
        <v>74</v>
      </c>
      <c r="B6">
        <v>1.2</v>
      </c>
    </row>
    <row r="7" spans="1:2" x14ac:dyDescent="0.3">
      <c r="B7" s="7" t="s">
        <v>82</v>
      </c>
    </row>
    <row r="8" spans="1:2" x14ac:dyDescent="0.3">
      <c r="B8" t="str" cm="1">
        <f t="array" ref="B8:B9">_xll.DUCKDB.EXEC(B7,B6)</f>
        <v>$1</v>
      </c>
    </row>
    <row r="9" spans="1:2" x14ac:dyDescent="0.3">
      <c r="B9">
        <v>1.2</v>
      </c>
    </row>
    <row r="10" spans="1:2" x14ac:dyDescent="0.3">
      <c r="A10" t="s">
        <v>14</v>
      </c>
      <c r="B10" t="s">
        <v>57</v>
      </c>
    </row>
    <row r="11" spans="1:2" x14ac:dyDescent="0.3">
      <c r="B11" s="7" t="s">
        <v>82</v>
      </c>
    </row>
    <row r="12" spans="1:2" x14ac:dyDescent="0.3">
      <c r="B12" t="str" cm="1">
        <f t="array" ref="B12:B13">_xll.DUCKDB.EXEC(B11,B10)</f>
        <v>$1</v>
      </c>
    </row>
    <row r="13" spans="1:2" x14ac:dyDescent="0.3">
      <c r="B13" t="str">
        <v>abc</v>
      </c>
    </row>
    <row r="15" spans="1:2" x14ac:dyDescent="0.3">
      <c r="A15" t="s">
        <v>13</v>
      </c>
      <c r="B15" t="b">
        <v>0</v>
      </c>
    </row>
    <row r="16" spans="1:2" x14ac:dyDescent="0.3">
      <c r="B16" s="7" t="s">
        <v>82</v>
      </c>
    </row>
    <row r="17" spans="1:2" x14ac:dyDescent="0.3">
      <c r="B17" t="str" cm="1">
        <f t="array" ref="B17:B18">_xll.DUCKDB.EXEC(B16,B15)</f>
        <v>$1</v>
      </c>
    </row>
    <row r="18" spans="1:2" x14ac:dyDescent="0.3">
      <c r="B18" t="b">
        <v>0</v>
      </c>
    </row>
    <row r="20" spans="1:2" x14ac:dyDescent="0.3">
      <c r="A20" t="s">
        <v>83</v>
      </c>
    </row>
    <row r="21" spans="1:2" x14ac:dyDescent="0.3">
      <c r="B21" s="7" t="s">
        <v>82</v>
      </c>
    </row>
    <row r="22" spans="1:2" x14ac:dyDescent="0.3">
      <c r="B22" t="str" cm="1">
        <f t="array" ref="B22:B23">_xll.DUCKDB.EXEC(B21,B20)</f>
        <v>$1</v>
      </c>
    </row>
    <row r="23" spans="1:2" x14ac:dyDescent="0.3">
      <c r="B23" t="e">
        <v>#N/A</v>
      </c>
    </row>
    <row r="25" spans="1:2" x14ac:dyDescent="0.3">
      <c r="A25" t="s">
        <v>84</v>
      </c>
      <c r="B25" t="e">
        <f>1/0</f>
        <v>#DIV/0!</v>
      </c>
    </row>
    <row r="26" spans="1:2" x14ac:dyDescent="0.3">
      <c r="B26" s="7" t="s">
        <v>82</v>
      </c>
    </row>
    <row r="27" spans="1:2" x14ac:dyDescent="0.3">
      <c r="B27" t="str" cm="1">
        <f t="array" ref="B27">_xll.DUCKDB.EXEC(B26,B25)</f>
        <v>Error: Parameter binding failed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C1CB2-5A89-4EE9-B7B8-26D912A856F1}">
  <dimension ref="A1"/>
  <sheetViews>
    <sheetView workbookViewId="0">
      <selection activeCell="F8" sqref="F8"/>
    </sheetView>
  </sheetViews>
  <sheetFormatPr defaultRowHeight="14.4" x14ac:dyDescent="0.3"/>
  <cols>
    <col min="1" max="1" width="19.88671875" bestFit="1" customWidth="1"/>
  </cols>
  <sheetData>
    <row r="1" spans="1:1" ht="28.8" x14ac:dyDescent="0.3">
      <c r="A1" s="1" t="str" cm="1">
        <f t="array" ref="A1">_xll.DUCKDB.INFO()</f>
        <v>Add-in version: v0.5.0
DuckDB version: v1.5.5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166A-6705-4BE6-BC5D-3DDB4234D0EA}">
  <dimension ref="A1:B12"/>
  <sheetViews>
    <sheetView workbookViewId="0">
      <selection activeCell="F13" sqref="F13"/>
    </sheetView>
  </sheetViews>
  <sheetFormatPr defaultRowHeight="14.4" x14ac:dyDescent="0.3"/>
  <cols>
    <col min="1" max="1" width="20.5546875" customWidth="1"/>
  </cols>
  <sheetData>
    <row r="1" spans="1:2" x14ac:dyDescent="0.3">
      <c r="B1" t="s">
        <v>86</v>
      </c>
    </row>
    <row r="2" spans="1:2" x14ac:dyDescent="0.3">
      <c r="A2" t="s">
        <v>87</v>
      </c>
      <c r="B2" t="str" cm="1">
        <f t="array" ref="B2:B3">_xll.DUCKDB.EXEC(B1)</f>
        <v>1</v>
      </c>
    </row>
    <row r="3" spans="1:2" x14ac:dyDescent="0.3">
      <c r="B3">
        <v>1</v>
      </c>
    </row>
    <row r="5" spans="1:2" x14ac:dyDescent="0.3">
      <c r="A5" t="s">
        <v>88</v>
      </c>
      <c r="B5" t="str" cm="1">
        <f t="array" ref="B5:B6">_xll.DUCKDB.EXEC.ASYNC(B1)</f>
        <v>1</v>
      </c>
    </row>
    <row r="6" spans="1:2" x14ac:dyDescent="0.3">
      <c r="B6">
        <v>1</v>
      </c>
    </row>
    <row r="8" spans="1:2" x14ac:dyDescent="0.3">
      <c r="A8" t="s">
        <v>89</v>
      </c>
      <c r="B8" t="str" cm="1">
        <f t="array" ref="B8:B9">_xll.DUCKDB.EXECX(,B1)</f>
        <v>1</v>
      </c>
    </row>
    <row r="9" spans="1:2" x14ac:dyDescent="0.3">
      <c r="B9">
        <v>1</v>
      </c>
    </row>
    <row r="11" spans="1:2" x14ac:dyDescent="0.3">
      <c r="A11" t="s">
        <v>90</v>
      </c>
      <c r="B11" t="str" cm="1">
        <f t="array" ref="B11:B12">_xll.DUCKDB.EXECX.ASYNC(,B1)</f>
        <v>1</v>
      </c>
    </row>
    <row r="12" spans="1:2" x14ac:dyDescent="0.3">
      <c r="B1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79F08-AA5E-452D-9515-58424370F18B}">
  <dimension ref="A1:A3"/>
  <sheetViews>
    <sheetView workbookViewId="0">
      <selection activeCell="E5" sqref="E5"/>
    </sheetView>
  </sheetViews>
  <sheetFormatPr defaultRowHeight="14.4" x14ac:dyDescent="0.3"/>
  <cols>
    <col min="1" max="1" width="31.33203125" customWidth="1"/>
  </cols>
  <sheetData>
    <row r="1" spans="1:1" ht="72" x14ac:dyDescent="0.3">
      <c r="A1" s="13" t="s">
        <v>91</v>
      </c>
    </row>
    <row r="2" spans="1:1" x14ac:dyDescent="0.3">
      <c r="A2" t="str" cm="1">
        <f t="array" ref="A2:A3">_xll.DUCKDB.EXEC(A1)</f>
        <v>count_star()</v>
      </c>
    </row>
    <row r="3" spans="1:1" x14ac:dyDescent="0.3">
      <c r="A3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TYPES</vt:lpstr>
      <vt:lpstr>XLRANGE</vt:lpstr>
      <vt:lpstr>SCALAR FUNCS</vt:lpstr>
      <vt:lpstr>EXECX</vt:lpstr>
      <vt:lpstr>BIND</vt:lpstr>
      <vt:lpstr>INFO</vt:lpstr>
      <vt:lpstr>ASYNC</vt:lpstr>
      <vt:lpstr>MULTI STMTS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Son, Hoang Ngoc - Kiem toan noi bo - Kiem toan vien cap 3</dc:creator>
  <cp:lastModifiedBy>Son, Hoang Ngoc - Kiem toan noi bo - Kiem toan vien ca</cp:lastModifiedBy>
  <dcterms:created xsi:type="dcterms:W3CDTF">2026-08-20T06:08:06Z</dcterms:created>
  <dcterms:modified xsi:type="dcterms:W3CDTF">2026-08-20T08:16:07Z</dcterms:modified>
</cp:coreProperties>
</file>