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W:\Users\daily\Desktop\"/>
    </mc:Choice>
  </mc:AlternateContent>
  <xr:revisionPtr revIDLastSave="0" documentId="8_{B2735A30-046D-4057-AB9E-A1C6EE595CA2}" xr6:coauthVersionLast="47" xr6:coauthVersionMax="47" xr10:uidLastSave="{00000000-0000-0000-0000-000000000000}"/>
  <bookViews>
    <workbookView xWindow="-120" yWindow="-120" windowWidth="29040" windowHeight="15720" activeTab="2" xr2:uid="{16A29E05-5294-4C93-91C1-6C3B8F27AE65}"/>
  </bookViews>
  <sheets>
    <sheet name="VALUES" sheetId="1" r:id="rId1"/>
    <sheet name="INFERENCE" sheetId="10" r:id="rId2"/>
    <sheet name="TYPE DOWNGRADE" sheetId="11" r:id="rId3"/>
    <sheet name="XLRANGE" sheetId="2" r:id="rId4"/>
    <sheet name="SCALAR FUNCS" sheetId="3" r:id="rId5"/>
    <sheet name="EXECX-A-AX" sheetId="4" r:id="rId6"/>
    <sheet name="BIND" sheetId="5" r:id="rId7"/>
    <sheet name="INFO" sheetId="6" r:id="rId8"/>
    <sheet name="MULTI STMTS" sheetId="9" r:id="rId9"/>
    <sheet name="ASYNC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4" i="11" l="1" a="1"/>
  <c r="E24" i="11" s="1"/>
  <c r="E22" i="11" a="1"/>
  <c r="E22" i="11" s="1"/>
  <c r="E20" i="11" a="1"/>
  <c r="E20" i="11" s="1"/>
  <c r="E18" i="11" a="1"/>
  <c r="E18" i="11" s="1"/>
  <c r="E16" i="11" a="1"/>
  <c r="E16" i="11" s="1"/>
  <c r="E14" i="11" a="1"/>
  <c r="E14" i="11" s="1"/>
  <c r="E12" i="11" a="1"/>
  <c r="E12" i="11" s="1"/>
  <c r="E10" i="11" a="1"/>
  <c r="E10" i="11" s="1"/>
  <c r="E8" i="11" a="1"/>
  <c r="E8" i="11" s="1"/>
  <c r="E2" i="11" a="1"/>
  <c r="E2" i="11" s="1"/>
  <c r="E6" i="11" a="1"/>
  <c r="E6" i="11" s="1"/>
  <c r="E4" i="11" a="1"/>
  <c r="E4" i="11" s="1"/>
  <c r="E20" i="1"/>
  <c r="E35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2" i="1"/>
  <c r="D15" i="1" a="1"/>
  <c r="D15" i="1" s="1"/>
  <c r="D12" i="1" a="1"/>
  <c r="D12" i="1" s="1"/>
  <c r="D7" i="1" a="1"/>
  <c r="D7" i="1" s="1"/>
  <c r="D9" i="1" a="1"/>
  <c r="D9" i="1" s="1"/>
  <c r="D3" i="1" a="1"/>
  <c r="D3" i="1" s="1"/>
  <c r="D4" i="1" a="1"/>
  <c r="D4" i="1" s="1"/>
  <c r="D5" i="1" a="1"/>
  <c r="D5" i="1" s="1"/>
  <c r="D6" i="1" a="1"/>
  <c r="D6" i="1" s="1"/>
  <c r="D8" i="1" a="1"/>
  <c r="D8" i="1" s="1"/>
  <c r="D10" i="1" a="1"/>
  <c r="D10" i="1" s="1"/>
  <c r="D11" i="1" a="1"/>
  <c r="D11" i="1" s="1"/>
  <c r="D13" i="1" a="1"/>
  <c r="D13" i="1" s="1"/>
  <c r="D14" i="1" a="1"/>
  <c r="D14" i="1" s="1"/>
  <c r="D16" i="1" a="1"/>
  <c r="D16" i="1" s="1"/>
  <c r="D17" i="1" a="1"/>
  <c r="D17" i="1" s="1"/>
  <c r="D18" i="1" a="1"/>
  <c r="D18" i="1" s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 s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 s="1"/>
  <c r="D35" i="1" a="1"/>
  <c r="D35" i="1" s="1"/>
  <c r="D2" i="1" a="1"/>
  <c r="D2" i="1" s="1"/>
  <c r="J29" i="10" a="1"/>
  <c r="J29" i="10" s="1"/>
  <c r="K29" i="10" s="1"/>
  <c r="F29" i="10" a="1"/>
  <c r="F29" i="10" s="1"/>
  <c r="G29" i="10" s="1"/>
  <c r="J27" i="10" a="1"/>
  <c r="J27" i="10" s="1"/>
  <c r="I27" i="10"/>
  <c r="F27" i="10" a="1"/>
  <c r="F27" i="10" s="1"/>
  <c r="G27" i="10" s="1"/>
  <c r="J25" i="10" a="1"/>
  <c r="J25" i="10" s="1"/>
  <c r="K25" i="10" s="1"/>
  <c r="F25" i="10" a="1"/>
  <c r="F25" i="10" s="1"/>
  <c r="G25" i="10" s="1"/>
  <c r="J24" i="10" a="1"/>
  <c r="J24" i="10" s="1"/>
  <c r="K24" i="10" s="1"/>
  <c r="F24" i="10" a="1"/>
  <c r="F24" i="10" s="1"/>
  <c r="G24" i="10" s="1"/>
  <c r="J23" i="10" a="1"/>
  <c r="J23" i="10" s="1"/>
  <c r="K23" i="10" s="1"/>
  <c r="F23" i="10" a="1"/>
  <c r="F23" i="10" s="1"/>
  <c r="G23" i="10" s="1"/>
  <c r="J21" i="10" a="1"/>
  <c r="J21" i="10" s="1"/>
  <c r="K21" i="10" s="1"/>
  <c r="F21" i="10" a="1"/>
  <c r="F21" i="10" s="1"/>
  <c r="G21" i="10" s="1"/>
  <c r="J17" i="10" a="1"/>
  <c r="J17" i="10" s="1"/>
  <c r="K17" i="10" s="1"/>
  <c r="F17" i="10" a="1"/>
  <c r="F17" i="10" s="1"/>
  <c r="G17" i="10" s="1"/>
  <c r="J15" i="10" a="1"/>
  <c r="J15" i="10" s="1"/>
  <c r="K15" i="10" s="1"/>
  <c r="F15" i="10" a="1"/>
  <c r="F15" i="10" s="1"/>
  <c r="G15" i="10" s="1"/>
  <c r="J13" i="10" a="1"/>
  <c r="J13" i="10" s="1"/>
  <c r="K13" i="10" s="1"/>
  <c r="F13" i="10" a="1"/>
  <c r="F13" i="10" s="1"/>
  <c r="G13" i="10" s="1"/>
  <c r="J19" i="10" a="1"/>
  <c r="J19" i="10" s="1"/>
  <c r="I19" i="10"/>
  <c r="F19" i="10" a="1"/>
  <c r="F19" i="10" s="1"/>
  <c r="G19" i="10" s="1"/>
  <c r="J16" i="10" a="1"/>
  <c r="J16" i="10" s="1"/>
  <c r="K16" i="10" s="1"/>
  <c r="F16" i="10" a="1"/>
  <c r="F16" i="10" s="1"/>
  <c r="G16" i="10" s="1"/>
  <c r="J11" i="10" a="1"/>
  <c r="J11" i="10" s="1"/>
  <c r="K11" i="10" s="1"/>
  <c r="J10" i="10" a="1"/>
  <c r="J10" i="10" s="1"/>
  <c r="K10" i="10" s="1"/>
  <c r="F11" i="10" a="1"/>
  <c r="F11" i="10" s="1"/>
  <c r="G11" i="10" s="1"/>
  <c r="F10" i="10" a="1"/>
  <c r="F10" i="10" s="1"/>
  <c r="G10" i="10" s="1"/>
  <c r="J5" i="10" a="1"/>
  <c r="J5" i="10" s="1"/>
  <c r="I5" i="10"/>
  <c r="F5" i="10" a="1"/>
  <c r="F5" i="10" s="1"/>
  <c r="G5" i="10" s="1"/>
  <c r="J9" i="10" a="1"/>
  <c r="J9" i="10" s="1"/>
  <c r="K9" i="10" s="1"/>
  <c r="F9" i="10" a="1"/>
  <c r="F9" i="10" s="1"/>
  <c r="G9" i="10" s="1"/>
  <c r="J7" i="10" a="1"/>
  <c r="J7" i="10" s="1"/>
  <c r="K7" i="10" s="1"/>
  <c r="F7" i="10" a="1"/>
  <c r="F7" i="10" s="1"/>
  <c r="G7" i="10" s="1"/>
  <c r="I3" i="10"/>
  <c r="J3" i="10" a="1"/>
  <c r="J3" i="10" s="1"/>
  <c r="K3" i="10" s="1"/>
  <c r="F3" i="10" a="1"/>
  <c r="F3" i="10" s="1"/>
  <c r="G3" i="10" s="1"/>
  <c r="I72" i="10"/>
  <c r="J72" i="10" a="1"/>
  <c r="J72" i="10" s="1"/>
  <c r="I73" i="10"/>
  <c r="J73" i="10" a="1"/>
  <c r="J73" i="10" s="1"/>
  <c r="I74" i="10"/>
  <c r="J74" i="10" a="1"/>
  <c r="J74" i="10" s="1"/>
  <c r="I75" i="10"/>
  <c r="J75" i="10" a="1"/>
  <c r="J75" i="10" s="1"/>
  <c r="I76" i="10"/>
  <c r="J76" i="10" a="1"/>
  <c r="J76" i="10" s="1"/>
  <c r="F72" i="10" a="1"/>
  <c r="F72" i="10" s="1"/>
  <c r="G72" i="10" s="1"/>
  <c r="F73" i="10" a="1"/>
  <c r="F73" i="10" s="1"/>
  <c r="G73" i="10" s="1"/>
  <c r="F74" i="10" a="1"/>
  <c r="F74" i="10" s="1"/>
  <c r="G74" i="10" s="1"/>
  <c r="F75" i="10" a="1"/>
  <c r="F75" i="10" s="1"/>
  <c r="G75" i="10" s="1"/>
  <c r="F76" i="10" a="1"/>
  <c r="F76" i="10" s="1"/>
  <c r="G76" i="10" s="1"/>
  <c r="J70" i="10" a="1"/>
  <c r="J70" i="10" s="1"/>
  <c r="F70" i="10" a="1"/>
  <c r="F70" i="10" s="1"/>
  <c r="G70" i="10" s="1"/>
  <c r="I31" i="10"/>
  <c r="I30" i="10"/>
  <c r="I26" i="10"/>
  <c r="I18" i="10"/>
  <c r="I4" i="10"/>
  <c r="I2" i="10"/>
  <c r="I71" i="10"/>
  <c r="I69" i="10"/>
  <c r="J71" i="10" a="1"/>
  <c r="J71" i="10" s="1"/>
  <c r="J69" i="10" a="1"/>
  <c r="J69" i="10" s="1"/>
  <c r="J68" i="10" a="1"/>
  <c r="J68" i="10" s="1"/>
  <c r="K68" i="10" s="1"/>
  <c r="J67" i="10" a="1"/>
  <c r="J67" i="10" s="1"/>
  <c r="K67" i="10" s="1"/>
  <c r="J66" i="10" a="1"/>
  <c r="J66" i="10" s="1"/>
  <c r="K66" i="10" s="1"/>
  <c r="J65" i="10" a="1"/>
  <c r="J65" i="10" s="1"/>
  <c r="K65" i="10" s="1"/>
  <c r="J64" i="10" a="1"/>
  <c r="J64" i="10" s="1"/>
  <c r="K64" i="10" s="1"/>
  <c r="J63" i="10" a="1"/>
  <c r="J63" i="10" s="1"/>
  <c r="K63" i="10" s="1"/>
  <c r="J62" i="10" a="1"/>
  <c r="J62" i="10" s="1"/>
  <c r="K62" i="10" s="1"/>
  <c r="J61" i="10" a="1"/>
  <c r="J61" i="10" s="1"/>
  <c r="K61" i="10" s="1"/>
  <c r="J60" i="10" a="1"/>
  <c r="J60" i="10" s="1"/>
  <c r="K60" i="10" s="1"/>
  <c r="J59" i="10" a="1"/>
  <c r="J59" i="10" s="1"/>
  <c r="K59" i="10" s="1"/>
  <c r="J58" i="10" a="1"/>
  <c r="J58" i="10" s="1"/>
  <c r="K58" i="10" s="1"/>
  <c r="J57" i="10" a="1"/>
  <c r="J57" i="10" s="1"/>
  <c r="K57" i="10" s="1"/>
  <c r="J56" i="10" a="1"/>
  <c r="J56" i="10" s="1"/>
  <c r="K56" i="10" s="1"/>
  <c r="J55" i="10" a="1"/>
  <c r="J55" i="10" s="1"/>
  <c r="K55" i="10" s="1"/>
  <c r="J54" i="10" a="1"/>
  <c r="J54" i="10" s="1"/>
  <c r="K54" i="10" s="1"/>
  <c r="J53" i="10" a="1"/>
  <c r="J53" i="10" s="1"/>
  <c r="K53" i="10" s="1"/>
  <c r="J52" i="10" a="1"/>
  <c r="J52" i="10" s="1"/>
  <c r="K52" i="10" s="1"/>
  <c r="J51" i="10" a="1"/>
  <c r="J51" i="10" s="1"/>
  <c r="K51" i="10" s="1"/>
  <c r="J50" i="10" a="1"/>
  <c r="J50" i="10" s="1"/>
  <c r="K50" i="10" s="1"/>
  <c r="J49" i="10" a="1"/>
  <c r="J49" i="10" s="1"/>
  <c r="K49" i="10" s="1"/>
  <c r="J48" i="10" a="1"/>
  <c r="J48" i="10" s="1"/>
  <c r="K48" i="10" s="1"/>
  <c r="J47" i="10" a="1"/>
  <c r="J47" i="10" s="1"/>
  <c r="K47" i="10" s="1"/>
  <c r="J46" i="10" a="1"/>
  <c r="J46" i="10" s="1"/>
  <c r="K46" i="10" s="1"/>
  <c r="J45" i="10" a="1"/>
  <c r="J45" i="10" s="1"/>
  <c r="K45" i="10" s="1"/>
  <c r="J44" i="10" a="1"/>
  <c r="J44" i="10" s="1"/>
  <c r="K44" i="10" s="1"/>
  <c r="J43" i="10" a="1"/>
  <c r="J43" i="10" s="1"/>
  <c r="K43" i="10" s="1"/>
  <c r="J42" i="10" a="1"/>
  <c r="J42" i="10" s="1"/>
  <c r="K42" i="10" s="1"/>
  <c r="J41" i="10" a="1"/>
  <c r="J41" i="10" s="1"/>
  <c r="K41" i="10" s="1"/>
  <c r="J40" i="10" a="1"/>
  <c r="J40" i="10" s="1"/>
  <c r="K40" i="10" s="1"/>
  <c r="J39" i="10" a="1"/>
  <c r="J39" i="10" s="1"/>
  <c r="K39" i="10" s="1"/>
  <c r="J38" i="10" a="1"/>
  <c r="J38" i="10" s="1"/>
  <c r="K38" i="10" s="1"/>
  <c r="J37" i="10" a="1"/>
  <c r="J37" i="10" s="1"/>
  <c r="K37" i="10" s="1"/>
  <c r="J36" i="10" a="1"/>
  <c r="J36" i="10" s="1"/>
  <c r="K36" i="10" s="1"/>
  <c r="J35" i="10" a="1"/>
  <c r="J35" i="10" s="1"/>
  <c r="K35" i="10" s="1"/>
  <c r="J34" i="10" a="1"/>
  <c r="J34" i="10" s="1"/>
  <c r="K34" i="10" s="1"/>
  <c r="J33" i="10" a="1"/>
  <c r="J33" i="10" s="1"/>
  <c r="K33" i="10" s="1"/>
  <c r="J32" i="10" a="1"/>
  <c r="J32" i="10" s="1"/>
  <c r="K32" i="10" s="1"/>
  <c r="J31" i="10" a="1"/>
  <c r="J31" i="10" s="1"/>
  <c r="K31" i="10" s="1"/>
  <c r="J30" i="10" a="1"/>
  <c r="J30" i="10" s="1"/>
  <c r="K30" i="10" s="1"/>
  <c r="J28" i="10" a="1"/>
  <c r="J28" i="10" s="1"/>
  <c r="K28" i="10" s="1"/>
  <c r="J26" i="10" a="1"/>
  <c r="J26" i="10" s="1"/>
  <c r="K26" i="10" s="1"/>
  <c r="J22" i="10" a="1"/>
  <c r="J22" i="10" s="1"/>
  <c r="K22" i="10" s="1"/>
  <c r="J20" i="10" a="1"/>
  <c r="J20" i="10" s="1"/>
  <c r="K20" i="10" s="1"/>
  <c r="J18" i="10" a="1"/>
  <c r="J18" i="10" s="1"/>
  <c r="K18" i="10" s="1"/>
  <c r="J14" i="10" a="1"/>
  <c r="J14" i="10" s="1"/>
  <c r="K14" i="10" s="1"/>
  <c r="J12" i="10" a="1"/>
  <c r="J12" i="10" s="1"/>
  <c r="K12" i="10" s="1"/>
  <c r="J8" i="10" a="1"/>
  <c r="J8" i="10" s="1"/>
  <c r="K8" i="10" s="1"/>
  <c r="J6" i="10" a="1"/>
  <c r="J6" i="10" s="1"/>
  <c r="K6" i="10" s="1"/>
  <c r="J4" i="10" a="1"/>
  <c r="J4" i="10" s="1"/>
  <c r="K4" i="10" s="1"/>
  <c r="J2" i="10" a="1"/>
  <c r="J2" i="10" s="1"/>
  <c r="K2" i="10" s="1"/>
  <c r="F69" i="10" a="1"/>
  <c r="F69" i="10" s="1"/>
  <c r="G69" i="10" s="1"/>
  <c r="F71" i="10" a="1"/>
  <c r="F71" i="10" s="1"/>
  <c r="G71" i="10" s="1"/>
  <c r="F65" i="10" a="1"/>
  <c r="F65" i="10" s="1"/>
  <c r="G65" i="10" s="1"/>
  <c r="F66" i="10" a="1"/>
  <c r="F66" i="10" s="1"/>
  <c r="G66" i="10" s="1"/>
  <c r="F67" i="10" a="1"/>
  <c r="F67" i="10" s="1"/>
  <c r="G67" i="10" s="1"/>
  <c r="F68" i="10" a="1"/>
  <c r="F68" i="10" s="1"/>
  <c r="G68" i="10" s="1"/>
  <c r="F57" i="10" a="1"/>
  <c r="F57" i="10" s="1"/>
  <c r="G57" i="10" s="1"/>
  <c r="F58" i="10" a="1"/>
  <c r="F58" i="10" s="1"/>
  <c r="G58" i="10" s="1"/>
  <c r="F59" i="10" a="1"/>
  <c r="F59" i="10" s="1"/>
  <c r="G59" i="10" s="1"/>
  <c r="F60" i="10" a="1"/>
  <c r="F60" i="10" s="1"/>
  <c r="G60" i="10" s="1"/>
  <c r="F61" i="10" a="1"/>
  <c r="F61" i="10" s="1"/>
  <c r="G61" i="10" s="1"/>
  <c r="F62" i="10" a="1"/>
  <c r="F62" i="10" s="1"/>
  <c r="G62" i="10" s="1"/>
  <c r="F63" i="10" a="1"/>
  <c r="F63" i="10" s="1"/>
  <c r="G63" i="10" s="1"/>
  <c r="F64" i="10" a="1"/>
  <c r="F64" i="10" s="1"/>
  <c r="G64" i="10" s="1"/>
  <c r="F56" i="10" a="1"/>
  <c r="F56" i="10" s="1"/>
  <c r="G56" i="10" s="1"/>
  <c r="F44" i="10" a="1"/>
  <c r="F44" i="10" s="1"/>
  <c r="G44" i="10" s="1"/>
  <c r="F45" i="10" a="1"/>
  <c r="F45" i="10" s="1"/>
  <c r="G45" i="10" s="1"/>
  <c r="F46" i="10" a="1"/>
  <c r="F46" i="10" s="1"/>
  <c r="G46" i="10" s="1"/>
  <c r="F47" i="10" a="1"/>
  <c r="F47" i="10" s="1"/>
  <c r="G47" i="10" s="1"/>
  <c r="F48" i="10" a="1"/>
  <c r="F48" i="10" s="1"/>
  <c r="G48" i="10" s="1"/>
  <c r="F49" i="10" a="1"/>
  <c r="F49" i="10" s="1"/>
  <c r="G49" i="10" s="1"/>
  <c r="F50" i="10" a="1"/>
  <c r="F50" i="10" s="1"/>
  <c r="G50" i="10" s="1"/>
  <c r="F51" i="10" a="1"/>
  <c r="F51" i="10" s="1"/>
  <c r="G51" i="10" s="1"/>
  <c r="F52" i="10" a="1"/>
  <c r="F52" i="10" s="1"/>
  <c r="G52" i="10" s="1"/>
  <c r="F53" i="10" a="1"/>
  <c r="F53" i="10" s="1"/>
  <c r="G53" i="10" s="1"/>
  <c r="F54" i="10" a="1"/>
  <c r="F54" i="10" s="1"/>
  <c r="G54" i="10" s="1"/>
  <c r="F55" i="10" a="1"/>
  <c r="F55" i="10" s="1"/>
  <c r="G55" i="10" s="1"/>
  <c r="F30" i="10" a="1"/>
  <c r="F30" i="10" s="1"/>
  <c r="G30" i="10" s="1"/>
  <c r="F31" i="10" a="1"/>
  <c r="F31" i="10" s="1"/>
  <c r="G31" i="10" s="1"/>
  <c r="F32" i="10" a="1"/>
  <c r="F32" i="10" s="1"/>
  <c r="G32" i="10" s="1"/>
  <c r="F33" i="10" a="1"/>
  <c r="F33" i="10" s="1"/>
  <c r="G33" i="10" s="1"/>
  <c r="F34" i="10" a="1"/>
  <c r="F34" i="10" s="1"/>
  <c r="G34" i="10" s="1"/>
  <c r="F35" i="10" a="1"/>
  <c r="F35" i="10" s="1"/>
  <c r="G35" i="10" s="1"/>
  <c r="F36" i="10" a="1"/>
  <c r="F36" i="10" s="1"/>
  <c r="G36" i="10" s="1"/>
  <c r="F37" i="10" a="1"/>
  <c r="F37" i="10" s="1"/>
  <c r="G37" i="10" s="1"/>
  <c r="F38" i="10" a="1"/>
  <c r="F38" i="10" s="1"/>
  <c r="G38" i="10" s="1"/>
  <c r="F39" i="10" a="1"/>
  <c r="F39" i="10" s="1"/>
  <c r="G39" i="10" s="1"/>
  <c r="F40" i="10" a="1"/>
  <c r="F40" i="10" s="1"/>
  <c r="G40" i="10" s="1"/>
  <c r="F41" i="10" a="1"/>
  <c r="F41" i="10" s="1"/>
  <c r="G41" i="10" s="1"/>
  <c r="F42" i="10" a="1"/>
  <c r="F42" i="10" s="1"/>
  <c r="G42" i="10" s="1"/>
  <c r="F43" i="10" a="1"/>
  <c r="F43" i="10" s="1"/>
  <c r="G43" i="10" s="1"/>
  <c r="F28" i="10" a="1"/>
  <c r="F28" i="10" s="1"/>
  <c r="G28" i="10" s="1"/>
  <c r="F26" i="10" a="1"/>
  <c r="F26" i="10" s="1"/>
  <c r="G26" i="10" s="1"/>
  <c r="F18" i="10" a="1"/>
  <c r="F18" i="10" s="1"/>
  <c r="G18" i="10" s="1"/>
  <c r="F20" i="10" a="1"/>
  <c r="F20" i="10" s="1"/>
  <c r="G20" i="10" s="1"/>
  <c r="F22" i="10" a="1"/>
  <c r="F22" i="10" s="1"/>
  <c r="G22" i="10" s="1"/>
  <c r="F4" i="10" a="1"/>
  <c r="F4" i="10" s="1"/>
  <c r="G4" i="10" s="1"/>
  <c r="F6" i="10" a="1"/>
  <c r="F6" i="10" s="1"/>
  <c r="G6" i="10" s="1"/>
  <c r="F8" i="10" a="1"/>
  <c r="F8" i="10" s="1"/>
  <c r="G8" i="10" s="1"/>
  <c r="F12" i="10" a="1"/>
  <c r="F12" i="10" s="1"/>
  <c r="G12" i="10" s="1"/>
  <c r="F14" i="10" a="1"/>
  <c r="F14" i="10" s="1"/>
  <c r="G14" i="10" s="1"/>
  <c r="F2" i="10" a="1"/>
  <c r="F2" i="10" s="1"/>
  <c r="G2" i="10" s="1"/>
  <c r="B103" i="2" a="1"/>
  <c r="B103" i="2" s="1"/>
  <c r="B100" i="2" a="1"/>
  <c r="B100" i="2" s="1"/>
  <c r="B9" i="3" a="1"/>
  <c r="B9" i="3" s="1"/>
  <c r="B12" i="4" a="1"/>
  <c r="B12" i="4" s="1"/>
  <c r="B7" i="4" a="1"/>
  <c r="B7" i="4" s="1"/>
  <c r="B11" i="7" a="1"/>
  <c r="B11" i="7" s="1"/>
  <c r="B8" i="7" a="1"/>
  <c r="B8" i="7" s="1"/>
  <c r="B94" i="2" a="1"/>
  <c r="B94" i="2" s="1"/>
  <c r="B91" i="2" a="1"/>
  <c r="B91" i="2" s="1"/>
  <c r="B80" i="2" a="1"/>
  <c r="B80" i="2" s="1"/>
  <c r="B77" i="2" a="1"/>
  <c r="B77" i="2" s="1"/>
  <c r="B65" i="2" a="1"/>
  <c r="B65" i="2" s="1"/>
  <c r="A2" i="9" a="1"/>
  <c r="A2" i="9" s="1"/>
  <c r="B5" i="7" a="1"/>
  <c r="B5" i="7" s="1"/>
  <c r="B2" i="7" a="1"/>
  <c r="B2" i="7" s="1"/>
  <c r="B8" i="5" a="1"/>
  <c r="B8" i="5" s="1"/>
  <c r="B25" i="5"/>
  <c r="B27" i="5" a="1"/>
  <c r="B27" i="5" s="1"/>
  <c r="B22" i="5" a="1"/>
  <c r="B22" i="5" s="1"/>
  <c r="B17" i="5" a="1"/>
  <c r="B17" i="5" s="1"/>
  <c r="B12" i="5" a="1"/>
  <c r="B12" i="5" s="1"/>
  <c r="B3" i="5" a="1"/>
  <c r="B3" i="5" s="1"/>
  <c r="B3" i="4" a="1"/>
  <c r="B3" i="4" s="1"/>
  <c r="B5" i="3" a="1"/>
  <c r="B5" i="3" s="1"/>
  <c r="F2" i="2"/>
  <c r="B32" i="2" s="1" a="1"/>
  <c r="B32" i="2" s="1"/>
  <c r="A1" i="6" a="1"/>
  <c r="K27" i="10" l="1"/>
  <c r="K19" i="10"/>
  <c r="K76" i="10"/>
  <c r="K74" i="10"/>
  <c r="K5" i="10"/>
  <c r="K69" i="10"/>
  <c r="K71" i="10"/>
  <c r="K75" i="10"/>
  <c r="K73" i="10"/>
  <c r="K72" i="10"/>
  <c r="K70" i="10"/>
  <c r="A1" i="6"/>
  <c r="B57" i="2" a="1"/>
  <c r="B57" i="2" s="1"/>
  <c r="B38" i="2" a="1"/>
  <c r="B38" i="2" s="1"/>
  <c r="B46" i="2" a="1"/>
  <c r="B46" i="2" s="1"/>
  <c r="B49" i="2" a="1"/>
  <c r="B49" i="2" s="1"/>
  <c r="B24" i="2" a="1"/>
  <c r="B24" i="2" s="1"/>
  <c r="B19" i="2" a="1"/>
  <c r="B19" i="2" s="1"/>
  <c r="B11" i="2" a="1"/>
  <c r="B11" i="2" s="1"/>
  <c r="B7" i="2" a="1"/>
  <c r="B7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<sst xmlns="http://schemas.openxmlformats.org/spreadsheetml/2006/main" count="403" uniqueCount="220">
  <si>
    <t>TINYINT</t>
  </si>
  <si>
    <t>UTINYINT</t>
  </si>
  <si>
    <t>SMALLINT</t>
  </si>
  <si>
    <t>USMALLINT</t>
  </si>
  <si>
    <t>INTEGER</t>
  </si>
  <si>
    <t>UINTEGER</t>
  </si>
  <si>
    <t>select true</t>
  </si>
  <si>
    <t>BOOLEAN</t>
  </si>
  <si>
    <t>VARCHAR</t>
  </si>
  <si>
    <t>select 'abc'</t>
  </si>
  <si>
    <t>FLOAT</t>
  </si>
  <si>
    <t>select 1.2::float</t>
  </si>
  <si>
    <t>DOUBLE</t>
  </si>
  <si>
    <t>select 1.2::double</t>
  </si>
  <si>
    <t>BIGINT</t>
  </si>
  <si>
    <t>UBIGINT</t>
  </si>
  <si>
    <t>HUGEINT</t>
  </si>
  <si>
    <t>UHUGEINT</t>
  </si>
  <si>
    <t>select 1::hugeint</t>
  </si>
  <si>
    <t>select 1::uhugeint</t>
  </si>
  <si>
    <t>SMALLINT BASED DECIMAL</t>
  </si>
  <si>
    <t>select 1.2::decimal(4, 2)</t>
  </si>
  <si>
    <t>INTEGER BASED DECIMAL</t>
  </si>
  <si>
    <t>select 1.2::decimal(9, 2)</t>
  </si>
  <si>
    <t>BIGINT BASED DECIMAL</t>
  </si>
  <si>
    <t>select 1.2::decimal(18, 2)</t>
  </si>
  <si>
    <t>HUGEINT BASED DECIMAL</t>
  </si>
  <si>
    <t>select 1.2::decimal(38, 2)</t>
  </si>
  <si>
    <t>DATE</t>
  </si>
  <si>
    <t>select '2026-12-31'::date</t>
  </si>
  <si>
    <t>TIME</t>
  </si>
  <si>
    <t>select '09:30:45'::time</t>
  </si>
  <si>
    <t>TIME WITH TIME ZONE</t>
  </si>
  <si>
    <t>select '09:30:45+07:00'::time with time zone</t>
  </si>
  <si>
    <t>TIMESTAMP</t>
  </si>
  <si>
    <t>select '2026-12-31 09:30:45'::timestamp</t>
  </si>
  <si>
    <t>TIMESTAMP WITH TIME ZONE</t>
  </si>
  <si>
    <t>select '2026-12-31 09:30:45+07:00'::timestamp with time zone</t>
  </si>
  <si>
    <t>TIMESTAMP_S</t>
  </si>
  <si>
    <t>select '2026-12-31 09:30:45'::timestamp_s</t>
  </si>
  <si>
    <t>TIMESTAMP_MS</t>
  </si>
  <si>
    <t>select '2026-12-31 09:30:45'::timestamp_ms</t>
  </si>
  <si>
    <t>TIMESTAMP_NS</t>
  </si>
  <si>
    <t>select '2026-12-31 09:30:45'::timestamp_ns</t>
  </si>
  <si>
    <t>NULL</t>
  </si>
  <si>
    <t>select null</t>
  </si>
  <si>
    <t>OTHER TYPES</t>
  </si>
  <si>
    <t>TEST DATA</t>
  </si>
  <si>
    <t>STRING_COL</t>
  </si>
  <si>
    <t>abc</t>
  </si>
  <si>
    <t>EMPTY_COL</t>
  </si>
  <si>
    <t>ERROR_COL</t>
  </si>
  <si>
    <t>select * from xlrange(1)</t>
  </si>
  <si>
    <t>describe (from xlrange(1))</t>
  </si>
  <si>
    <t>select * from xlrange(1, sample=1)</t>
  </si>
  <si>
    <t>READ 1 ROW</t>
  </si>
  <si>
    <t>READ 2 ROW</t>
  </si>
  <si>
    <t>(fall back to DOUBLE)</t>
  </si>
  <si>
    <t>(fall back to VARCHAR)</t>
  </si>
  <si>
    <t>READ 3 ROW</t>
  </si>
  <si>
    <t>FAILED TO CONVERT VALUE TO INFERRED COLUMN TYPE</t>
  </si>
  <si>
    <t>SAMPLE ALL</t>
  </si>
  <si>
    <t>describe (from xlrange(1, sample=0))</t>
  </si>
  <si>
    <t>ALL VARCHAR</t>
  </si>
  <si>
    <t>describe (from xlrange(1, all_varchar=true))</t>
  </si>
  <si>
    <t>NUMBER_1</t>
  </si>
  <si>
    <t>NUMBER_2</t>
  </si>
  <si>
    <t>date_col</t>
  </si>
  <si>
    <t>time_col</t>
  </si>
  <si>
    <t>datetime_col</t>
  </si>
  <si>
    <t>create macro test_macro(x) as x;</t>
  </si>
  <si>
    <t>select test_macro(1);</t>
  </si>
  <si>
    <t>select ?</t>
  </si>
  <si>
    <t>EMPTY</t>
  </si>
  <si>
    <t>ERROR</t>
  </si>
  <si>
    <t>select array_value(1, 2, 3) as my_column;</t>
  </si>
  <si>
    <t>select 1;</t>
  </si>
  <si>
    <t>DUCKDB.EXEC.ASYNC</t>
  </si>
  <si>
    <t>DUCKDB.EXECX</t>
  </si>
  <si>
    <t>DUCKDB.EXECX.ASYNC</t>
  </si>
  <si>
    <t>create table t as
select * from range(10);
select count(*)
from t;</t>
  </si>
  <si>
    <t>HEADER=FALSE</t>
  </si>
  <si>
    <t>select * from xlrange(1, header=false)</t>
  </si>
  <si>
    <t>TEST DATA 1</t>
  </si>
  <si>
    <t>TEST DATA 2</t>
  </si>
  <si>
    <t>col1</t>
  </si>
  <si>
    <t>STRICT=TRUE</t>
  </si>
  <si>
    <t>select * from xlrange(1, strict=true)</t>
  </si>
  <si>
    <t>STRICT=FALSE</t>
  </si>
  <si>
    <t>select * from xlrange(1, strict=false)</t>
  </si>
  <si>
    <t>TEST DATA 3</t>
  </si>
  <si>
    <t>dup</t>
  </si>
  <si>
    <t>DUCKDB.EXECA</t>
  </si>
  <si>
    <t>DUCKDB.EXECA.ASYNC</t>
  </si>
  <si>
    <t>DUCKDB.EXECAX.ASYNC</t>
  </si>
  <si>
    <t>DUCKDB.EXECAX</t>
  </si>
  <si>
    <t>xldate, xltime, xldatetime</t>
  </si>
  <si>
    <t>with double</t>
  </si>
  <si>
    <t>select xldate(date_col::double)::varchar, xltime(time_col::double)::varchar, xldatetime(datetime_col::double)::varchar from xlrange(1)</t>
  </si>
  <si>
    <t>select xldate(date_col::integer)::varchar, xltime(time_col::integer)::varchar, xldatetime(datetime_col::integer)::varchar from xlrange(1)</t>
  </si>
  <si>
    <t>with integer</t>
  </si>
  <si>
    <t>IGNORE_ERRORS=FALSE</t>
  </si>
  <si>
    <t>select * from xlrange(1, strict=false, sample=2)</t>
  </si>
  <si>
    <t>IGNORE_ERRORS=TRUE</t>
  </si>
  <si>
    <t>select * from xlrange(1, strict=false, sample=2, ignore_errors=true)</t>
  </si>
  <si>
    <t>1</t>
  </si>
  <si>
    <t>1.0</t>
  </si>
  <si>
    <t xml:space="preserve">   1    </t>
  </si>
  <si>
    <t xml:space="preserve">      1.0   </t>
  </si>
  <si>
    <t>Test case</t>
  </si>
  <si>
    <t>1.2</t>
  </si>
  <si>
    <t xml:space="preserve">      1.2   </t>
  </si>
  <si>
    <t xml:space="preserve">     2147483648     </t>
  </si>
  <si>
    <t>TRUE</t>
  </si>
  <si>
    <t>FALSE</t>
  </si>
  <si>
    <t>true</t>
  </si>
  <si>
    <t>false</t>
  </si>
  <si>
    <t>on</t>
  </si>
  <si>
    <t>ON</t>
  </si>
  <si>
    <t>OFF</t>
  </si>
  <si>
    <t>off</t>
  </si>
  <si>
    <t>T</t>
  </si>
  <si>
    <t>F</t>
  </si>
  <si>
    <t>t</t>
  </si>
  <si>
    <t>f</t>
  </si>
  <si>
    <t xml:space="preserve">   TRUE   </t>
  </si>
  <si>
    <t xml:space="preserve">   FALSE   </t>
  </si>
  <si>
    <t xml:space="preserve">   true   </t>
  </si>
  <si>
    <t xml:space="preserve">   false   </t>
  </si>
  <si>
    <t xml:space="preserve">   ON   </t>
  </si>
  <si>
    <t xml:space="preserve">   OFF   </t>
  </si>
  <si>
    <t xml:space="preserve">   on   </t>
  </si>
  <si>
    <t xml:space="preserve">   off   </t>
  </si>
  <si>
    <t xml:space="preserve">   T   </t>
  </si>
  <si>
    <t xml:space="preserve">   F   </t>
  </si>
  <si>
    <t xml:space="preserve">   t   </t>
  </si>
  <si>
    <t xml:space="preserve">   f   </t>
  </si>
  <si>
    <t>null</t>
  </si>
  <si>
    <t>N/A</t>
  </si>
  <si>
    <t>n/a</t>
  </si>
  <si>
    <t xml:space="preserve">       NULL          </t>
  </si>
  <si>
    <t xml:space="preserve">       null          </t>
  </si>
  <si>
    <t xml:space="preserve">       N/A          </t>
  </si>
  <si>
    <t xml:space="preserve">       n/a          </t>
  </si>
  <si>
    <t xml:space="preserve">    abc    </t>
  </si>
  <si>
    <t>Expected Value</t>
  </si>
  <si>
    <t>Actual Value</t>
  </si>
  <si>
    <t>Value Test Result</t>
  </si>
  <si>
    <t>Value Test SQL</t>
  </si>
  <si>
    <t>Expected Inferred Type</t>
  </si>
  <si>
    <t>Actual Inferred Type</t>
  </si>
  <si>
    <t>Inferred Type Test Result</t>
  </si>
  <si>
    <t>Inferred Type Test SQL</t>
  </si>
  <si>
    <t>Integer</t>
  </si>
  <si>
    <t>Integer stored as text</t>
  </si>
  <si>
    <t>Integer stored as text with leading and trailing space</t>
  </si>
  <si>
    <t>Double</t>
  </si>
  <si>
    <t>Double stored as text</t>
  </si>
  <si>
    <t>Double stored as text with leading and trailing space</t>
  </si>
  <si>
    <t>True/false</t>
  </si>
  <si>
    <t>True/false in text</t>
  </si>
  <si>
    <t>True/false in text with leading and trailing space</t>
  </si>
  <si>
    <t>Empty/ NULL</t>
  </si>
  <si>
    <t>Empty/ NULL as text</t>
  </si>
  <si>
    <t>Empty/ NULL as text with leading and trailing space</t>
  </si>
  <si>
    <t>Error</t>
  </si>
  <si>
    <t>Text</t>
  </si>
  <si>
    <t>Text with leading and trailing space</t>
  </si>
  <si>
    <t>Number over INT32 limit</t>
  </si>
  <si>
    <t>Number over INT32 limit with leading and trailing space</t>
  </si>
  <si>
    <t>Text (all space)</t>
  </si>
  <si>
    <t xml:space="preserve">       </t>
  </si>
  <si>
    <t>Test Number</t>
  </si>
  <si>
    <t>Test Case</t>
  </si>
  <si>
    <t>Excel Value</t>
  </si>
  <si>
    <t>Sample Size</t>
  </si>
  <si>
    <t>select column_type from (describe (from xlrange(1, header=false, sample=?))) where column_name = 'column_0';</t>
  </si>
  <si>
    <t>NA</t>
  </si>
  <si>
    <t>NONE</t>
  </si>
  <si>
    <t>NIL</t>
  </si>
  <si>
    <t>INF</t>
  </si>
  <si>
    <t>NaN</t>
  </si>
  <si>
    <t>-1</t>
  </si>
  <si>
    <t>-1.0</t>
  </si>
  <si>
    <t>1e1</t>
  </si>
  <si>
    <t>-1e1</t>
  </si>
  <si>
    <t xml:space="preserve">   1e1    </t>
  </si>
  <si>
    <t xml:space="preserve">   -1    </t>
  </si>
  <si>
    <t xml:space="preserve">      -1.0   </t>
  </si>
  <si>
    <t xml:space="preserve">   -1e1    </t>
  </si>
  <si>
    <t>-1.2</t>
  </si>
  <si>
    <t xml:space="preserve">      -1.2   </t>
  </si>
  <si>
    <t xml:space="preserve">      1.2e-2   </t>
  </si>
  <si>
    <t xml:space="preserve">      -1.2e-2   </t>
  </si>
  <si>
    <t xml:space="preserve">     -2147483649     </t>
  </si>
  <si>
    <t>SQL</t>
  </si>
  <si>
    <t>Testcase</t>
  </si>
  <si>
    <t>Actual Result</t>
  </si>
  <si>
    <t>Expected Result</t>
  </si>
  <si>
    <t>select false</t>
  </si>
  <si>
    <t>select 127::tinyint</t>
  </si>
  <si>
    <t>select (-128)::tinyint</t>
  </si>
  <si>
    <t>select 255::utinyint</t>
  </si>
  <si>
    <t>select 32767::smallint</t>
  </si>
  <si>
    <t>select (-32768)::smallint</t>
  </si>
  <si>
    <t>select 2147483647::integer</t>
  </si>
  <si>
    <t>select (-2147483648)::integer</t>
  </si>
  <si>
    <t>select 65535::usmallint</t>
  </si>
  <si>
    <t>select 4294967295::uinteger</t>
  </si>
  <si>
    <t>select (-1)::hugeint</t>
  </si>
  <si>
    <t>select 18446744073709551615::ubigint</t>
  </si>
  <si>
    <t>select 9223372036854775807::bigint</t>
  </si>
  <si>
    <t>select (-9223372036854775808)::bigint</t>
  </si>
  <si>
    <t>Test result</t>
  </si>
  <si>
    <t>select column_type from (describe (from xlrange(1, header=false, sample=1))) where column_name = 'column_1';</t>
  </si>
  <si>
    <t>select column_1 from xlrange(1, header=false, sample=1)</t>
  </si>
  <si>
    <t>Actual Type</t>
  </si>
  <si>
    <t>Boolean</t>
  </si>
  <si>
    <t>Varchar</t>
  </si>
  <si>
    <t>def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</si>
</sst>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dd/mm/yyyy\ hh:mm:ss"/>
    <numFmt numFmtId="166" formatCode="0.0"/>
    <numFmt numFmtId="169" formatCode="h:mm:ss;@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onsolas"/>
      <family val="3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onsolas"/>
      <family val="3"/>
    </font>
    <font>
      <b/>
      <sz val="11"/>
      <color theme="1"/>
      <name val="Consolas"/>
      <family val="3"/>
    </font>
    <font>
      <b/>
      <sz val="11"/>
      <name val="Consolas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14" fontId="2" fillId="0" borderId="0" xfId="0" applyNumberFormat="1" applyFont="1"/>
    <xf numFmtId="165" fontId="2" fillId="0" borderId="0" xfId="0" applyNumberFormat="1" applyFont="1"/>
    <xf numFmtId="0" fontId="1" fillId="0" borderId="0" xfId="0" applyFont="1"/>
    <xf numFmtId="0" fontId="3" fillId="0" borderId="0" xfId="0" applyFont="1"/>
    <xf numFmtId="14" fontId="0" fillId="0" borderId="0" xfId="0" applyNumberFormat="1"/>
    <xf numFmtId="21" fontId="0" fillId="0" borderId="0" xfId="0" applyNumberFormat="1"/>
    <xf numFmtId="164" fontId="0" fillId="0" borderId="0" xfId="0" applyNumberFormat="1"/>
    <xf numFmtId="0" fontId="1" fillId="0" borderId="0" xfId="0" applyFont="1" applyAlignment="1">
      <alignment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169" fontId="2" fillId="0" borderId="0" xfId="0" applyNumberFormat="1" applyFont="1"/>
    <xf numFmtId="14" fontId="5" fillId="0" borderId="0" xfId="0" applyNumberFormat="1" applyFont="1"/>
    <xf numFmtId="169" fontId="5" fillId="0" borderId="0" xfId="0" applyNumberFormat="1" applyFont="1"/>
    <xf numFmtId="165" fontId="5" fillId="0" borderId="0" xfId="0" applyNumberFormat="1" applyFont="1"/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166" fontId="0" fillId="0" borderId="1" xfId="0" applyNumberFormat="1" applyBorder="1"/>
    <xf numFmtId="49" fontId="0" fillId="0" borderId="1" xfId="0" applyNumberFormat="1" applyBorder="1"/>
  </cellXfs>
  <cellStyles count="1">
    <cellStyle name="Normal" xfId="0" builtinId="0"/>
  </cellStyles>
  <dxfs count="4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58680-0ED5-4EFA-AB03-B446D1F523DD}">
  <dimension ref="A1:E35"/>
  <sheetViews>
    <sheetView workbookViewId="0">
      <selection activeCell="E20" sqref="E20"/>
    </sheetView>
  </sheetViews>
  <sheetFormatPr defaultRowHeight="15" x14ac:dyDescent="0.25"/>
  <cols>
    <col min="1" max="1" width="26" bestFit="1" customWidth="1"/>
    <col min="2" max="2" width="72.7109375" style="2" bestFit="1" customWidth="1"/>
    <col min="3" max="3" width="23.140625" style="13" bestFit="1" customWidth="1"/>
    <col min="4" max="4" width="23.140625" bestFit="1" customWidth="1"/>
    <col min="5" max="5" width="25.7109375" customWidth="1"/>
    <col min="8" max="8" width="38.140625" customWidth="1"/>
  </cols>
  <sheetData>
    <row r="1" spans="1:5" x14ac:dyDescent="0.25">
      <c r="A1" s="12" t="s">
        <v>196</v>
      </c>
      <c r="B1" s="18" t="s">
        <v>195</v>
      </c>
      <c r="C1" s="19" t="s">
        <v>198</v>
      </c>
      <c r="D1" s="12" t="s">
        <v>197</v>
      </c>
      <c r="E1" s="12" t="s">
        <v>213</v>
      </c>
    </row>
    <row r="2" spans="1:5" x14ac:dyDescent="0.25">
      <c r="A2" t="s">
        <v>0</v>
      </c>
      <c r="B2" s="13" t="s">
        <v>200</v>
      </c>
      <c r="C2" s="13">
        <v>127</v>
      </c>
      <c r="D2" s="2" cm="1">
        <f t="array" ref="D2">INDEX(_xll.DUCKDB.EXEC(B2),2)</f>
        <v>127</v>
      </c>
      <c r="E2" s="11" t="str">
        <f>IF(ISNA(C2),IF(ISNA(D2),"PASS","FAIL"),IFERROR(IF(C2=D2,"PASS","FAIL"),"FAIL"))</f>
        <v>PASS</v>
      </c>
    </row>
    <row r="3" spans="1:5" x14ac:dyDescent="0.25">
      <c r="A3" t="s">
        <v>0</v>
      </c>
      <c r="B3" s="13" t="s">
        <v>201</v>
      </c>
      <c r="C3" s="13">
        <v>-128</v>
      </c>
      <c r="D3" s="2" cm="1">
        <f t="array" ref="D3">INDEX(_xll.DUCKDB.EXEC(B3),2)</f>
        <v>-128</v>
      </c>
      <c r="E3" s="11" t="str">
        <f t="shared" ref="E3:E35" si="0">IF(ISNA(C3),IF(ISNA(D3),"PASS","FAIL"),IFERROR(IF(C3=D3,"PASS","FAIL"),"FAIL"))</f>
        <v>PASS</v>
      </c>
    </row>
    <row r="4" spans="1:5" x14ac:dyDescent="0.25">
      <c r="A4" t="s">
        <v>1</v>
      </c>
      <c r="B4" s="13" t="s">
        <v>202</v>
      </c>
      <c r="C4" s="13">
        <v>255</v>
      </c>
      <c r="D4" s="2" cm="1">
        <f t="array" ref="D4">INDEX(_xll.DUCKDB.EXEC(B4),2)</f>
        <v>255</v>
      </c>
      <c r="E4" s="11" t="str">
        <f t="shared" si="0"/>
        <v>PASS</v>
      </c>
    </row>
    <row r="5" spans="1:5" x14ac:dyDescent="0.25">
      <c r="A5" t="s">
        <v>2</v>
      </c>
      <c r="B5" s="13" t="s">
        <v>203</v>
      </c>
      <c r="C5" s="13">
        <v>32767</v>
      </c>
      <c r="D5" s="2" cm="1">
        <f t="array" ref="D5">INDEX(_xll.DUCKDB.EXEC(B5),2)</f>
        <v>32767</v>
      </c>
      <c r="E5" s="11" t="str">
        <f t="shared" si="0"/>
        <v>PASS</v>
      </c>
    </row>
    <row r="6" spans="1:5" x14ac:dyDescent="0.25">
      <c r="A6" t="s">
        <v>2</v>
      </c>
      <c r="B6" s="13" t="s">
        <v>204</v>
      </c>
      <c r="C6" s="13">
        <v>-32768</v>
      </c>
      <c r="D6" s="2" cm="1">
        <f t="array" ref="D6">INDEX(_xll.DUCKDB.EXEC(B6),2)</f>
        <v>-32768</v>
      </c>
      <c r="E6" s="11" t="str">
        <f t="shared" si="0"/>
        <v>PASS</v>
      </c>
    </row>
    <row r="7" spans="1:5" x14ac:dyDescent="0.25">
      <c r="A7" t="s">
        <v>3</v>
      </c>
      <c r="B7" s="13" t="s">
        <v>207</v>
      </c>
      <c r="C7" s="13">
        <v>65535</v>
      </c>
      <c r="D7" s="2" cm="1">
        <f t="array" ref="D7">INDEX(_xll.DUCKDB.EXEC(B7),2)</f>
        <v>65535</v>
      </c>
      <c r="E7" s="11" t="str">
        <f t="shared" si="0"/>
        <v>PASS</v>
      </c>
    </row>
    <row r="8" spans="1:5" x14ac:dyDescent="0.25">
      <c r="A8" t="s">
        <v>4</v>
      </c>
      <c r="B8" s="13" t="s">
        <v>205</v>
      </c>
      <c r="C8" s="13">
        <v>2147483647</v>
      </c>
      <c r="D8" s="2" cm="1">
        <f t="array" ref="D8">INDEX(_xll.DUCKDB.EXEC(B8),2)</f>
        <v>2147483647</v>
      </c>
      <c r="E8" s="11" t="str">
        <f t="shared" si="0"/>
        <v>PASS</v>
      </c>
    </row>
    <row r="9" spans="1:5" x14ac:dyDescent="0.25">
      <c r="A9" t="s">
        <v>4</v>
      </c>
      <c r="B9" s="13" t="s">
        <v>206</v>
      </c>
      <c r="C9" s="13">
        <v>-2147483648</v>
      </c>
      <c r="D9" s="2" cm="1">
        <f t="array" ref="D9">INDEX(_xll.DUCKDB.EXEC(B9),2)</f>
        <v>-2147483648</v>
      </c>
      <c r="E9" s="11" t="str">
        <f t="shared" si="0"/>
        <v>PASS</v>
      </c>
    </row>
    <row r="10" spans="1:5" x14ac:dyDescent="0.25">
      <c r="A10" t="s">
        <v>5</v>
      </c>
      <c r="B10" s="13" t="s">
        <v>208</v>
      </c>
      <c r="C10" s="13">
        <v>4294967295</v>
      </c>
      <c r="D10" s="2" cm="1">
        <f t="array" ref="D10">INDEX(_xll.DUCKDB.EXEC(B10),2)</f>
        <v>4294967295</v>
      </c>
      <c r="E10" s="11" t="str">
        <f t="shared" si="0"/>
        <v>PASS</v>
      </c>
    </row>
    <row r="11" spans="1:5" x14ac:dyDescent="0.25">
      <c r="A11" t="s">
        <v>14</v>
      </c>
      <c r="B11" s="13" t="s">
        <v>211</v>
      </c>
      <c r="C11" s="13">
        <v>9.2233720368547758E+18</v>
      </c>
      <c r="D11" s="2" cm="1">
        <f t="array" ref="D11">INDEX(_xll.DUCKDB.EXEC(B11),2)</f>
        <v>9.2233720368547758E+18</v>
      </c>
      <c r="E11" s="11" t="str">
        <f t="shared" si="0"/>
        <v>PASS</v>
      </c>
    </row>
    <row r="12" spans="1:5" x14ac:dyDescent="0.25">
      <c r="A12" t="s">
        <v>14</v>
      </c>
      <c r="B12" s="13" t="s">
        <v>212</v>
      </c>
      <c r="C12" s="13">
        <v>-9.2233720368547758E+18</v>
      </c>
      <c r="D12" s="2" cm="1">
        <f t="array" ref="D12">INDEX(_xll.DUCKDB.EXEC(B12),2)</f>
        <v>-9.2233720368547758E+18</v>
      </c>
      <c r="E12" s="11" t="str">
        <f t="shared" si="0"/>
        <v>PASS</v>
      </c>
    </row>
    <row r="13" spans="1:5" x14ac:dyDescent="0.25">
      <c r="A13" t="s">
        <v>15</v>
      </c>
      <c r="B13" s="13" t="s">
        <v>210</v>
      </c>
      <c r="C13" s="13">
        <v>1.8446744073709552E+19</v>
      </c>
      <c r="D13" s="2" cm="1">
        <f t="array" ref="D13">INDEX(_xll.DUCKDB.EXEC(B13),2)</f>
        <v>1.8446744073709552E+19</v>
      </c>
      <c r="E13" s="11" t="str">
        <f t="shared" si="0"/>
        <v>PASS</v>
      </c>
    </row>
    <row r="14" spans="1:5" x14ac:dyDescent="0.25">
      <c r="A14" t="s">
        <v>16</v>
      </c>
      <c r="B14" s="13" t="s">
        <v>18</v>
      </c>
      <c r="C14" s="13">
        <v>1</v>
      </c>
      <c r="D14" s="2" cm="1">
        <f t="array" ref="D14">INDEX(_xll.DUCKDB.EXEC(B14),2)</f>
        <v>1</v>
      </c>
      <c r="E14" s="11" t="str">
        <f t="shared" si="0"/>
        <v>PASS</v>
      </c>
    </row>
    <row r="15" spans="1:5" x14ac:dyDescent="0.25">
      <c r="A15" t="s">
        <v>16</v>
      </c>
      <c r="B15" s="13" t="s">
        <v>209</v>
      </c>
      <c r="C15" s="13">
        <v>-1</v>
      </c>
      <c r="D15" s="2" cm="1">
        <f t="array" ref="D15">INDEX(_xll.DUCKDB.EXEC(B15),2)</f>
        <v>-1</v>
      </c>
      <c r="E15" s="11" t="str">
        <f t="shared" si="0"/>
        <v>PASS</v>
      </c>
    </row>
    <row r="16" spans="1:5" x14ac:dyDescent="0.25">
      <c r="A16" t="s">
        <v>17</v>
      </c>
      <c r="B16" s="13" t="s">
        <v>19</v>
      </c>
      <c r="C16" s="13">
        <v>1</v>
      </c>
      <c r="D16" s="2" cm="1">
        <f t="array" ref="D16">INDEX(_xll.DUCKDB.EXEC(B16),2)</f>
        <v>1</v>
      </c>
      <c r="E16" s="11" t="str">
        <f t="shared" si="0"/>
        <v>PASS</v>
      </c>
    </row>
    <row r="17" spans="1:5" x14ac:dyDescent="0.25">
      <c r="A17" t="s">
        <v>7</v>
      </c>
      <c r="B17" s="13" t="s">
        <v>6</v>
      </c>
      <c r="C17" s="13" t="b">
        <v>1</v>
      </c>
      <c r="D17" s="2" t="b" cm="1">
        <f t="array" ref="D17">INDEX(_xll.DUCKDB.EXEC(B17),2)</f>
        <v>1</v>
      </c>
      <c r="E17" s="11" t="str">
        <f t="shared" si="0"/>
        <v>PASS</v>
      </c>
    </row>
    <row r="18" spans="1:5" x14ac:dyDescent="0.25">
      <c r="A18" t="s">
        <v>7</v>
      </c>
      <c r="B18" s="13" t="s">
        <v>199</v>
      </c>
      <c r="C18" s="13" t="b">
        <v>0</v>
      </c>
      <c r="D18" s="2" t="b" cm="1">
        <f t="array" ref="D18">INDEX(_xll.DUCKDB.EXEC(B18),2)</f>
        <v>0</v>
      </c>
      <c r="E18" s="11" t="str">
        <f t="shared" si="0"/>
        <v>PASS</v>
      </c>
    </row>
    <row r="19" spans="1:5" x14ac:dyDescent="0.25">
      <c r="A19" t="s">
        <v>8</v>
      </c>
      <c r="B19" s="13" t="s">
        <v>9</v>
      </c>
      <c r="C19" s="13" t="s">
        <v>49</v>
      </c>
      <c r="D19" s="2" t="str" cm="1">
        <f t="array" ref="D19">INDEX(_xll.DUCKDB.EXEC(B19),2)</f>
        <v>abc</v>
      </c>
      <c r="E19" s="11" t="str">
        <f t="shared" si="0"/>
        <v>PASS</v>
      </c>
    </row>
    <row r="20" spans="1:5" x14ac:dyDescent="0.25">
      <c r="A20" t="s">
        <v>10</v>
      </c>
      <c r="B20" s="13" t="s">
        <v>11</v>
      </c>
      <c r="C20" s="13">
        <v>1.2</v>
      </c>
      <c r="D20" s="2" cm="1">
        <f t="array" ref="D20">INDEX(_xll.DUCKDB.EXEC(B20),2)</f>
        <v>1.2000000476837158</v>
      </c>
      <c r="E20" s="11" t="str">
        <f>IF(ISNA(C20),IF(ISNA(D20),"PASS","FAIL"),IFERROR(IF(ABS(C20-D20)&lt;0.0000001,"PASS","FAIL"),"FAIL"))</f>
        <v>PASS</v>
      </c>
    </row>
    <row r="21" spans="1:5" x14ac:dyDescent="0.25">
      <c r="A21" t="s">
        <v>12</v>
      </c>
      <c r="B21" s="13" t="s">
        <v>13</v>
      </c>
      <c r="C21" s="13">
        <v>1.2</v>
      </c>
      <c r="D21" s="2" cm="1">
        <f t="array" ref="D21">INDEX(_xll.DUCKDB.EXEC(B21),2)</f>
        <v>1.2</v>
      </c>
      <c r="E21" s="11" t="str">
        <f t="shared" si="0"/>
        <v>PASS</v>
      </c>
    </row>
    <row r="22" spans="1:5" x14ac:dyDescent="0.25">
      <c r="A22" t="s">
        <v>20</v>
      </c>
      <c r="B22" s="13" t="s">
        <v>21</v>
      </c>
      <c r="C22" s="13">
        <v>1.2</v>
      </c>
      <c r="D22" s="2" cm="1">
        <f t="array" ref="D22">INDEX(_xll.DUCKDB.EXEC(B22),2)</f>
        <v>1.2</v>
      </c>
      <c r="E22" s="11" t="str">
        <f t="shared" si="0"/>
        <v>PASS</v>
      </c>
    </row>
    <row r="23" spans="1:5" x14ac:dyDescent="0.25">
      <c r="A23" t="s">
        <v>22</v>
      </c>
      <c r="B23" s="13" t="s">
        <v>23</v>
      </c>
      <c r="C23" s="13">
        <v>1.2</v>
      </c>
      <c r="D23" s="2" cm="1">
        <f t="array" ref="D23">INDEX(_xll.DUCKDB.EXEC(B23),2)</f>
        <v>1.2</v>
      </c>
      <c r="E23" s="11" t="str">
        <f t="shared" si="0"/>
        <v>PASS</v>
      </c>
    </row>
    <row r="24" spans="1:5" x14ac:dyDescent="0.25">
      <c r="A24" t="s">
        <v>24</v>
      </c>
      <c r="B24" s="13" t="s">
        <v>25</v>
      </c>
      <c r="C24" s="13">
        <v>1.2</v>
      </c>
      <c r="D24" s="2" cm="1">
        <f t="array" ref="D24">INDEX(_xll.DUCKDB.EXEC(B24),2)</f>
        <v>1.2</v>
      </c>
      <c r="E24" s="11" t="str">
        <f t="shared" si="0"/>
        <v>PASS</v>
      </c>
    </row>
    <row r="25" spans="1:5" x14ac:dyDescent="0.25">
      <c r="A25" t="s">
        <v>26</v>
      </c>
      <c r="B25" s="13" t="s">
        <v>27</v>
      </c>
      <c r="C25" s="13">
        <v>1.2</v>
      </c>
      <c r="D25" s="2" cm="1">
        <f t="array" ref="D25">INDEX(_xll.DUCKDB.EXEC(B25),2)</f>
        <v>1.2</v>
      </c>
      <c r="E25" s="11" t="str">
        <f t="shared" si="0"/>
        <v>PASS</v>
      </c>
    </row>
    <row r="26" spans="1:5" x14ac:dyDescent="0.25">
      <c r="A26" t="s">
        <v>28</v>
      </c>
      <c r="B26" s="13" t="s">
        <v>29</v>
      </c>
      <c r="C26" s="15">
        <v>46387</v>
      </c>
      <c r="D26" s="3" cm="1">
        <f t="array" ref="D26">INDEX(_xll.DUCKDB.EXEC(B26),2)</f>
        <v>46387</v>
      </c>
      <c r="E26" s="11" t="str">
        <f t="shared" si="0"/>
        <v>PASS</v>
      </c>
    </row>
    <row r="27" spans="1:5" x14ac:dyDescent="0.25">
      <c r="A27" t="s">
        <v>30</v>
      </c>
      <c r="B27" s="13" t="s">
        <v>31</v>
      </c>
      <c r="C27" s="16">
        <v>0.39635416666666667</v>
      </c>
      <c r="D27" s="14" cm="1">
        <f t="array" ref="D27">INDEX(_xll.DUCKDB.EXEC(B27),2)</f>
        <v>0.39635416666666667</v>
      </c>
      <c r="E27" s="11" t="str">
        <f t="shared" si="0"/>
        <v>PASS</v>
      </c>
    </row>
    <row r="28" spans="1:5" x14ac:dyDescent="0.25">
      <c r="A28" t="s">
        <v>32</v>
      </c>
      <c r="B28" s="13" t="s">
        <v>33</v>
      </c>
      <c r="C28" s="16">
        <v>0.39635416666666667</v>
      </c>
      <c r="D28" s="14" cm="1">
        <f t="array" ref="D28">INDEX(_xll.DUCKDB.EXEC(B28),2)</f>
        <v>0.39635416666666667</v>
      </c>
      <c r="E28" s="11" t="str">
        <f t="shared" si="0"/>
        <v>PASS</v>
      </c>
    </row>
    <row r="29" spans="1:5" x14ac:dyDescent="0.25">
      <c r="A29" t="s">
        <v>34</v>
      </c>
      <c r="B29" s="13" t="s">
        <v>35</v>
      </c>
      <c r="C29" s="17">
        <v>46387.396354166667</v>
      </c>
      <c r="D29" s="4" cm="1">
        <f t="array" ref="D29">INDEX(_xll.DUCKDB.EXEC(B29),2)</f>
        <v>46387.396354166667</v>
      </c>
      <c r="E29" s="11" t="str">
        <f t="shared" si="0"/>
        <v>PASS</v>
      </c>
    </row>
    <row r="30" spans="1:5" x14ac:dyDescent="0.25">
      <c r="A30" t="s">
        <v>36</v>
      </c>
      <c r="B30" s="13" t="s">
        <v>37</v>
      </c>
      <c r="C30" s="17">
        <v>46387.104687500003</v>
      </c>
      <c r="D30" s="4" cm="1">
        <f t="array" ref="D30">INDEX(_xll.DUCKDB.EXEC(B30),2)</f>
        <v>46387.104687500003</v>
      </c>
      <c r="E30" s="11" t="str">
        <f t="shared" si="0"/>
        <v>PASS</v>
      </c>
    </row>
    <row r="31" spans="1:5" x14ac:dyDescent="0.25">
      <c r="A31" t="s">
        <v>38</v>
      </c>
      <c r="B31" s="13" t="s">
        <v>39</v>
      </c>
      <c r="C31" s="17">
        <v>46387.396354166667</v>
      </c>
      <c r="D31" s="4" cm="1">
        <f t="array" ref="D31">INDEX(_xll.DUCKDB.EXEC(B31),2)</f>
        <v>46387.396354166667</v>
      </c>
      <c r="E31" s="11" t="str">
        <f t="shared" si="0"/>
        <v>PASS</v>
      </c>
    </row>
    <row r="32" spans="1:5" x14ac:dyDescent="0.25">
      <c r="A32" t="s">
        <v>40</v>
      </c>
      <c r="B32" s="13" t="s">
        <v>41</v>
      </c>
      <c r="C32" s="17">
        <v>46387.396354166667</v>
      </c>
      <c r="D32" s="4" cm="1">
        <f t="array" ref="D32">INDEX(_xll.DUCKDB.EXEC(B32),2)</f>
        <v>46387.396354166667</v>
      </c>
      <c r="E32" s="11" t="str">
        <f t="shared" si="0"/>
        <v>PASS</v>
      </c>
    </row>
    <row r="33" spans="1:5" x14ac:dyDescent="0.25">
      <c r="A33" t="s">
        <v>42</v>
      </c>
      <c r="B33" s="13" t="s">
        <v>43</v>
      </c>
      <c r="C33" s="17">
        <v>46387.396354166667</v>
      </c>
      <c r="D33" s="4" cm="1">
        <f t="array" ref="D33">INDEX(_xll.DUCKDB.EXEC(B33),2)</f>
        <v>46387.396354166667</v>
      </c>
      <c r="E33" s="11" t="str">
        <f t="shared" si="0"/>
        <v>PASS</v>
      </c>
    </row>
    <row r="34" spans="1:5" x14ac:dyDescent="0.25">
      <c r="A34" t="s">
        <v>44</v>
      </c>
      <c r="B34" s="13" t="s">
        <v>45</v>
      </c>
      <c r="C34" s="13" t="e">
        <v>#N/A</v>
      </c>
      <c r="D34" s="2" t="e" cm="1">
        <f t="array" ref="D34">INDEX(_xll.DUCKDB.EXEC(B34),2)</f>
        <v>#N/A</v>
      </c>
      <c r="E34" s="11" t="str">
        <f t="shared" si="0"/>
        <v>PASS</v>
      </c>
    </row>
    <row r="35" spans="1:5" x14ac:dyDescent="0.25">
      <c r="A35" t="s">
        <v>46</v>
      </c>
      <c r="B35" s="13" t="s">
        <v>75</v>
      </c>
      <c r="C35" s="13" t="s">
        <v>165</v>
      </c>
      <c r="D35" s="2" t="str" cm="1">
        <f t="array" ref="D35">_xll.DUCKDB.EXEC(B35)</f>
        <v>Error fetching data: Column my_column: Unsupported DuckDB type. Convert the value to VARCHAR before returning it to Excel.</v>
      </c>
      <c r="E35" s="11" t="str">
        <f>IF(ISNA(C35),IF(ISNA(D35),"PASS","FAIL"),IFERROR(IF(C35=LEFT(D35,LEN(C35)),"PASS","FAIL"),"FAIL"))</f>
        <v>PASS</v>
      </c>
    </row>
  </sheetData>
  <conditionalFormatting sqref="E2:E35">
    <cfRule type="cellIs" dxfId="3" priority="1" stopIfTrue="1" operator="equal">
      <formula>"PASS"</formula>
    </cfRule>
    <cfRule type="cellIs" dxfId="2" priority="2" stopIfTrue="1" operator="equal">
      <formula>"FAIL"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BDC2F-78D8-495C-B354-FBB81CDDC292}">
  <dimension ref="A1:K76"/>
  <sheetViews>
    <sheetView zoomScaleNormal="100" workbookViewId="0">
      <selection activeCell="B15" sqref="B15"/>
    </sheetView>
  </sheetViews>
  <sheetFormatPr defaultRowHeight="15" x14ac:dyDescent="0.25"/>
  <cols>
    <col min="1" max="1" width="11.42578125" bestFit="1" customWidth="1"/>
    <col min="2" max="2" width="51.42578125" customWidth="1"/>
    <col min="3" max="3" width="17.140625" customWidth="1"/>
    <col min="4" max="4" width="43.28515625" customWidth="1"/>
    <col min="5" max="5" width="20" style="11" bestFit="1" customWidth="1"/>
    <col min="6" max="6" width="17.7109375" style="11" bestFit="1" customWidth="1"/>
    <col min="7" max="7" width="21.5703125" bestFit="1" customWidth="1"/>
    <col min="8" max="8" width="29.7109375" customWidth="1"/>
    <col min="9" max="9" width="13.85546875" customWidth="1"/>
    <col min="10" max="10" width="12.140625" customWidth="1"/>
    <col min="11" max="11" width="21.140625" customWidth="1"/>
  </cols>
  <sheetData>
    <row r="1" spans="1:11" x14ac:dyDescent="0.25">
      <c r="A1" s="20" t="s">
        <v>172</v>
      </c>
      <c r="B1" s="21" t="s">
        <v>109</v>
      </c>
      <c r="C1" s="21" t="s">
        <v>174</v>
      </c>
      <c r="D1" s="21" t="s">
        <v>152</v>
      </c>
      <c r="E1" s="21" t="s">
        <v>149</v>
      </c>
      <c r="F1" s="21" t="s">
        <v>150</v>
      </c>
      <c r="G1" s="21" t="s">
        <v>151</v>
      </c>
      <c r="H1" s="21" t="s">
        <v>148</v>
      </c>
      <c r="I1" s="21" t="s">
        <v>145</v>
      </c>
      <c r="J1" s="21" t="s">
        <v>146</v>
      </c>
      <c r="K1" s="21" t="s">
        <v>147</v>
      </c>
    </row>
    <row r="2" spans="1:11" ht="14.45" customHeight="1" x14ac:dyDescent="0.25">
      <c r="A2" s="25">
        <v>1</v>
      </c>
      <c r="B2" s="22" t="s">
        <v>153</v>
      </c>
      <c r="C2" s="22">
        <v>1</v>
      </c>
      <c r="D2" s="26" t="s">
        <v>214</v>
      </c>
      <c r="E2" s="25" t="s">
        <v>4</v>
      </c>
      <c r="F2" s="25" t="str" cm="1">
        <f t="array" ref="F2">INDEX(_xll.DUCKDB.EXEC($D$2,B2:C2),2)</f>
        <v>INTEGER</v>
      </c>
      <c r="G2" s="25" t="str">
        <f>IF(E2=F2,"PASS","FAIL")</f>
        <v>PASS</v>
      </c>
      <c r="H2" s="26" t="s">
        <v>215</v>
      </c>
      <c r="I2" s="22">
        <f>C2</f>
        <v>1</v>
      </c>
      <c r="J2" s="22" cm="1">
        <f t="array" ref="J2">INDEX(_xll.DUCKDB.EXEC($H$2,B2:C2),2)</f>
        <v>1</v>
      </c>
      <c r="K2" s="25" t="str">
        <f>IF(ISNA(I2),IF(ISNA(J2),"PASS","FAIL"),IFERROR(IF(I2=J2,"PASS","FAIL"),"FAIL"))</f>
        <v>PASS</v>
      </c>
    </row>
    <row r="3" spans="1:11" ht="14.45" customHeight="1" x14ac:dyDescent="0.25">
      <c r="A3" s="25">
        <v>2</v>
      </c>
      <c r="B3" s="22" t="s">
        <v>153</v>
      </c>
      <c r="C3" s="22">
        <v>-1</v>
      </c>
      <c r="D3" s="26"/>
      <c r="E3" s="25" t="s">
        <v>4</v>
      </c>
      <c r="F3" s="25" t="str" cm="1">
        <f t="array" ref="F3">INDEX(_xll.DUCKDB.EXEC($D$2,B3:C3),2)</f>
        <v>INTEGER</v>
      </c>
      <c r="G3" s="25" t="str">
        <f>IF(E3=F3,"PASS","FAIL")</f>
        <v>PASS</v>
      </c>
      <c r="H3" s="26"/>
      <c r="I3" s="22">
        <f>C3</f>
        <v>-1</v>
      </c>
      <c r="J3" s="22" cm="1">
        <f t="array" ref="J3">INDEX(_xll.DUCKDB.EXEC($H$2,B3:C3),2)</f>
        <v>-1</v>
      </c>
      <c r="K3" s="25" t="str">
        <f>IF(ISNA(I3),IF(ISNA(J3),"PASS","FAIL"),IFERROR(IF(I3=J3,"PASS","FAIL"),"FAIL"))</f>
        <v>PASS</v>
      </c>
    </row>
    <row r="4" spans="1:11" x14ac:dyDescent="0.25">
      <c r="A4" s="25">
        <v>3</v>
      </c>
      <c r="B4" s="22" t="s">
        <v>153</v>
      </c>
      <c r="C4" s="27">
        <v>2</v>
      </c>
      <c r="D4" s="26"/>
      <c r="E4" s="25" t="s">
        <v>4</v>
      </c>
      <c r="F4" s="25" t="str" cm="1">
        <f t="array" ref="F4">INDEX(_xll.DUCKDB.EXEC($D$2,B4:C4),2)</f>
        <v>INTEGER</v>
      </c>
      <c r="G4" s="25" t="str">
        <f t="shared" ref="G4:G43" si="0">IF(E4=F4,"PASS","FAIL")</f>
        <v>PASS</v>
      </c>
      <c r="H4" s="26"/>
      <c r="I4" s="22">
        <f>C4</f>
        <v>2</v>
      </c>
      <c r="J4" s="22" cm="1">
        <f t="array" ref="J4">INDEX(_xll.DUCKDB.EXEC($H$2,B4:C4),2)</f>
        <v>2</v>
      </c>
      <c r="K4" s="25" t="str">
        <f t="shared" ref="K4:K71" si="1">IF(ISNA(I4),IF(ISNA(J4),"PASS","FAIL"),IFERROR(IF(I4=J4,"PASS","FAIL"),"FAIL"))</f>
        <v>PASS</v>
      </c>
    </row>
    <row r="5" spans="1:11" x14ac:dyDescent="0.25">
      <c r="A5" s="25">
        <v>4</v>
      </c>
      <c r="B5" s="22" t="s">
        <v>153</v>
      </c>
      <c r="C5" s="27">
        <v>-2</v>
      </c>
      <c r="D5" s="26"/>
      <c r="E5" s="25" t="s">
        <v>4</v>
      </c>
      <c r="F5" s="25" t="str" cm="1">
        <f t="array" ref="F5">INDEX(_xll.DUCKDB.EXEC($D$2,B5:C5),2)</f>
        <v>INTEGER</v>
      </c>
      <c r="G5" s="25" t="str">
        <f t="shared" ref="G5" si="2">IF(E5=F5,"PASS","FAIL")</f>
        <v>PASS</v>
      </c>
      <c r="H5" s="26"/>
      <c r="I5" s="22">
        <f>C5</f>
        <v>-2</v>
      </c>
      <c r="J5" s="22" cm="1">
        <f t="array" ref="J5">INDEX(_xll.DUCKDB.EXEC($H$2,B5:C5),2)</f>
        <v>-2</v>
      </c>
      <c r="K5" s="25" t="str">
        <f t="shared" ref="K5" si="3">IF(ISNA(I5),IF(ISNA(J5),"PASS","FAIL"),IFERROR(IF(I5=J5,"PASS","FAIL"),"FAIL"))</f>
        <v>PASS</v>
      </c>
    </row>
    <row r="6" spans="1:11" x14ac:dyDescent="0.25">
      <c r="A6" s="25">
        <v>5</v>
      </c>
      <c r="B6" s="22" t="s">
        <v>154</v>
      </c>
      <c r="C6" s="28" t="s">
        <v>105</v>
      </c>
      <c r="D6" s="26"/>
      <c r="E6" s="25" t="s">
        <v>4</v>
      </c>
      <c r="F6" s="25" t="str" cm="1">
        <f t="array" ref="F6">INDEX(_xll.DUCKDB.EXEC($D$2,B6:C6),2)</f>
        <v>INTEGER</v>
      </c>
      <c r="G6" s="25" t="str">
        <f t="shared" si="0"/>
        <v>PASS</v>
      </c>
      <c r="H6" s="26"/>
      <c r="I6" s="22">
        <v>1</v>
      </c>
      <c r="J6" s="22" cm="1">
        <f t="array" ref="J6">INDEX(_xll.DUCKDB.EXEC($H$2,B6:C6),2)</f>
        <v>1</v>
      </c>
      <c r="K6" s="25" t="str">
        <f t="shared" si="1"/>
        <v>PASS</v>
      </c>
    </row>
    <row r="7" spans="1:11" x14ac:dyDescent="0.25">
      <c r="A7" s="25">
        <v>6</v>
      </c>
      <c r="B7" s="22" t="s">
        <v>154</v>
      </c>
      <c r="C7" s="28" t="s">
        <v>182</v>
      </c>
      <c r="D7" s="26"/>
      <c r="E7" s="25" t="s">
        <v>4</v>
      </c>
      <c r="F7" s="25" t="str" cm="1">
        <f t="array" ref="F7">INDEX(_xll.DUCKDB.EXEC($D$2,B7:C7),2)</f>
        <v>INTEGER</v>
      </c>
      <c r="G7" s="25" t="str">
        <f t="shared" ref="G7" si="4">IF(E7=F7,"PASS","FAIL")</f>
        <v>PASS</v>
      </c>
      <c r="H7" s="26"/>
      <c r="I7" s="22">
        <v>-1</v>
      </c>
      <c r="J7" s="22" cm="1">
        <f t="array" ref="J7">INDEX(_xll.DUCKDB.EXEC($H$2,B7:C7),2)</f>
        <v>-1</v>
      </c>
      <c r="K7" s="25" t="str">
        <f t="shared" si="1"/>
        <v>PASS</v>
      </c>
    </row>
    <row r="8" spans="1:11" x14ac:dyDescent="0.25">
      <c r="A8" s="25">
        <v>7</v>
      </c>
      <c r="B8" s="22" t="s">
        <v>154</v>
      </c>
      <c r="C8" s="28" t="s">
        <v>106</v>
      </c>
      <c r="D8" s="26"/>
      <c r="E8" s="25" t="s">
        <v>4</v>
      </c>
      <c r="F8" s="25" t="str" cm="1">
        <f t="array" ref="F8">INDEX(_xll.DUCKDB.EXEC($D$2,B8:C8),2)</f>
        <v>INTEGER</v>
      </c>
      <c r="G8" s="25" t="str">
        <f t="shared" si="0"/>
        <v>PASS</v>
      </c>
      <c r="H8" s="26"/>
      <c r="I8" s="22">
        <v>1</v>
      </c>
      <c r="J8" s="22" cm="1">
        <f t="array" ref="J8">INDEX(_xll.DUCKDB.EXEC($H$2,B8:C8),2)</f>
        <v>1</v>
      </c>
      <c r="K8" s="25" t="str">
        <f t="shared" si="1"/>
        <v>PASS</v>
      </c>
    </row>
    <row r="9" spans="1:11" x14ac:dyDescent="0.25">
      <c r="A9" s="25">
        <v>8</v>
      </c>
      <c r="B9" s="22" t="s">
        <v>154</v>
      </c>
      <c r="C9" s="28" t="s">
        <v>183</v>
      </c>
      <c r="D9" s="26"/>
      <c r="E9" s="25" t="s">
        <v>4</v>
      </c>
      <c r="F9" s="25" t="str" cm="1">
        <f t="array" ref="F9">INDEX(_xll.DUCKDB.EXEC($D$2,B9:C9),2)</f>
        <v>INTEGER</v>
      </c>
      <c r="G9" s="25" t="str">
        <f t="shared" ref="G9" si="5">IF(E9=F9,"PASS","FAIL")</f>
        <v>PASS</v>
      </c>
      <c r="H9" s="26"/>
      <c r="I9" s="22">
        <v>-1</v>
      </c>
      <c r="J9" s="22" cm="1">
        <f t="array" ref="J9">INDEX(_xll.DUCKDB.EXEC($H$2,B9:C9),2)</f>
        <v>-1</v>
      </c>
      <c r="K9" s="25" t="str">
        <f t="shared" ref="K9:K10" si="6">IF(ISNA(I9),IF(ISNA(J9),"PASS","FAIL"),IFERROR(IF(I9=J9,"PASS","FAIL"),"FAIL"))</f>
        <v>PASS</v>
      </c>
    </row>
    <row r="10" spans="1:11" x14ac:dyDescent="0.25">
      <c r="A10" s="25">
        <v>9</v>
      </c>
      <c r="B10" s="22" t="s">
        <v>154</v>
      </c>
      <c r="C10" s="28" t="s">
        <v>184</v>
      </c>
      <c r="D10" s="26"/>
      <c r="E10" s="25" t="s">
        <v>4</v>
      </c>
      <c r="F10" s="25" t="str" cm="1">
        <f t="array" ref="F10">INDEX(_xll.DUCKDB.EXEC($D$2,B10:C10),2)</f>
        <v>INTEGER</v>
      </c>
      <c r="G10" s="25" t="str">
        <f t="shared" ref="G10:G11" si="7">IF(E10=F10,"PASS","FAIL")</f>
        <v>PASS</v>
      </c>
      <c r="H10" s="26"/>
      <c r="I10" s="22">
        <v>10</v>
      </c>
      <c r="J10" s="22" cm="1">
        <f t="array" ref="J10">INDEX(_xll.DUCKDB.EXEC($H$2,B10:C10),2)</f>
        <v>10</v>
      </c>
      <c r="K10" s="25" t="str">
        <f t="shared" si="6"/>
        <v>PASS</v>
      </c>
    </row>
    <row r="11" spans="1:11" x14ac:dyDescent="0.25">
      <c r="A11" s="25">
        <v>10</v>
      </c>
      <c r="B11" s="22" t="s">
        <v>154</v>
      </c>
      <c r="C11" s="28" t="s">
        <v>185</v>
      </c>
      <c r="D11" s="26"/>
      <c r="E11" s="25" t="s">
        <v>4</v>
      </c>
      <c r="F11" s="25" t="str" cm="1">
        <f t="array" ref="F11">INDEX(_xll.DUCKDB.EXEC($D$2,B11:C11),2)</f>
        <v>INTEGER</v>
      </c>
      <c r="G11" s="25" t="str">
        <f t="shared" si="7"/>
        <v>PASS</v>
      </c>
      <c r="H11" s="26"/>
      <c r="I11" s="22">
        <v>-10</v>
      </c>
      <c r="J11" s="22" cm="1">
        <f t="array" ref="J11">INDEX(_xll.DUCKDB.EXEC($H$2,B11:C11),2)</f>
        <v>-10</v>
      </c>
      <c r="K11" s="25" t="str">
        <f t="shared" ref="K11" si="8">IF(ISNA(I11),IF(ISNA(J11),"PASS","FAIL"),IFERROR(IF(I11=J11,"PASS","FAIL"),"FAIL"))</f>
        <v>PASS</v>
      </c>
    </row>
    <row r="12" spans="1:11" x14ac:dyDescent="0.25">
      <c r="A12" s="25">
        <v>11</v>
      </c>
      <c r="B12" s="22" t="s">
        <v>155</v>
      </c>
      <c r="C12" s="28" t="s">
        <v>107</v>
      </c>
      <c r="D12" s="26"/>
      <c r="E12" s="25" t="s">
        <v>4</v>
      </c>
      <c r="F12" s="25" t="str" cm="1">
        <f t="array" ref="F12">INDEX(_xll.DUCKDB.EXEC($D$2,B12:C12),2)</f>
        <v>INTEGER</v>
      </c>
      <c r="G12" s="25" t="str">
        <f t="shared" si="0"/>
        <v>PASS</v>
      </c>
      <c r="H12" s="26"/>
      <c r="I12" s="22">
        <v>1</v>
      </c>
      <c r="J12" s="22" cm="1">
        <f t="array" ref="J12">INDEX(_xll.DUCKDB.EXEC($H$2,B12:C12),2)</f>
        <v>1</v>
      </c>
      <c r="K12" s="25" t="str">
        <f t="shared" si="1"/>
        <v>PASS</v>
      </c>
    </row>
    <row r="13" spans="1:11" x14ac:dyDescent="0.25">
      <c r="A13" s="25">
        <v>12</v>
      </c>
      <c r="B13" s="22" t="s">
        <v>155</v>
      </c>
      <c r="C13" s="28" t="s">
        <v>187</v>
      </c>
      <c r="D13" s="26"/>
      <c r="E13" s="25" t="s">
        <v>4</v>
      </c>
      <c r="F13" s="25" t="str" cm="1">
        <f t="array" ref="F13">INDEX(_xll.DUCKDB.EXEC($D$2,B13:C13),2)</f>
        <v>INTEGER</v>
      </c>
      <c r="G13" s="25" t="str">
        <f t="shared" ref="G13" si="9">IF(E13=F13,"PASS","FAIL")</f>
        <v>PASS</v>
      </c>
      <c r="H13" s="26"/>
      <c r="I13" s="22">
        <v>-1</v>
      </c>
      <c r="J13" s="22" cm="1">
        <f t="array" ref="J13">INDEX(_xll.DUCKDB.EXEC($H$2,B13:C13),2)</f>
        <v>-1</v>
      </c>
      <c r="K13" s="25" t="str">
        <f t="shared" ref="K13" si="10">IF(ISNA(I13),IF(ISNA(J13),"PASS","FAIL"),IFERROR(IF(I13=J13,"PASS","FAIL"),"FAIL"))</f>
        <v>PASS</v>
      </c>
    </row>
    <row r="14" spans="1:11" x14ac:dyDescent="0.25">
      <c r="A14" s="25">
        <v>13</v>
      </c>
      <c r="B14" s="22" t="s">
        <v>155</v>
      </c>
      <c r="C14" s="28" t="s">
        <v>108</v>
      </c>
      <c r="D14" s="26"/>
      <c r="E14" s="25" t="s">
        <v>4</v>
      </c>
      <c r="F14" s="25" t="str" cm="1">
        <f t="array" ref="F14">INDEX(_xll.DUCKDB.EXEC($D$2,B14:C14),2)</f>
        <v>INTEGER</v>
      </c>
      <c r="G14" s="25" t="str">
        <f t="shared" si="0"/>
        <v>PASS</v>
      </c>
      <c r="H14" s="26"/>
      <c r="I14" s="22">
        <v>1</v>
      </c>
      <c r="J14" s="22" cm="1">
        <f t="array" ref="J14">INDEX(_xll.DUCKDB.EXEC($H$2,B14:C14),2)</f>
        <v>1</v>
      </c>
      <c r="K14" s="25" t="str">
        <f t="shared" si="1"/>
        <v>PASS</v>
      </c>
    </row>
    <row r="15" spans="1:11" x14ac:dyDescent="0.25">
      <c r="A15" s="25">
        <v>14</v>
      </c>
      <c r="B15" s="22" t="s">
        <v>155</v>
      </c>
      <c r="C15" s="28" t="s">
        <v>188</v>
      </c>
      <c r="D15" s="26"/>
      <c r="E15" s="25" t="s">
        <v>4</v>
      </c>
      <c r="F15" s="25" t="str" cm="1">
        <f t="array" ref="F15">INDEX(_xll.DUCKDB.EXEC($D$2,B15:C15),2)</f>
        <v>INTEGER</v>
      </c>
      <c r="G15" s="25" t="str">
        <f t="shared" ref="G15" si="11">IF(E15=F15,"PASS","FAIL")</f>
        <v>PASS</v>
      </c>
      <c r="H15" s="26"/>
      <c r="I15" s="22">
        <v>-1</v>
      </c>
      <c r="J15" s="22" cm="1">
        <f t="array" ref="J15">INDEX(_xll.DUCKDB.EXEC($H$2,B15:C15),2)</f>
        <v>-1</v>
      </c>
      <c r="K15" s="25" t="str">
        <f t="shared" ref="K15" si="12">IF(ISNA(I15),IF(ISNA(J15),"PASS","FAIL"),IFERROR(IF(I15=J15,"PASS","FAIL"),"FAIL"))</f>
        <v>PASS</v>
      </c>
    </row>
    <row r="16" spans="1:11" x14ac:dyDescent="0.25">
      <c r="A16" s="25">
        <v>15</v>
      </c>
      <c r="B16" s="22" t="s">
        <v>155</v>
      </c>
      <c r="C16" s="28" t="s">
        <v>186</v>
      </c>
      <c r="D16" s="26"/>
      <c r="E16" s="25" t="s">
        <v>4</v>
      </c>
      <c r="F16" s="25" t="str" cm="1">
        <f t="array" ref="F16">INDEX(_xll.DUCKDB.EXEC($D$2,B16:C16),2)</f>
        <v>INTEGER</v>
      </c>
      <c r="G16" s="25" t="str">
        <f t="shared" ref="G16" si="13">IF(E16=F16,"PASS","FAIL")</f>
        <v>PASS</v>
      </c>
      <c r="H16" s="26"/>
      <c r="I16" s="22">
        <v>10</v>
      </c>
      <c r="J16" s="22" cm="1">
        <f t="array" ref="J16">INDEX(_xll.DUCKDB.EXEC($H$2,B16:C16),2)</f>
        <v>10</v>
      </c>
      <c r="K16" s="25" t="str">
        <f t="shared" ref="K16" si="14">IF(ISNA(I16),IF(ISNA(J16),"PASS","FAIL"),IFERROR(IF(I16=J16,"PASS","FAIL"),"FAIL"))</f>
        <v>PASS</v>
      </c>
    </row>
    <row r="17" spans="1:11" x14ac:dyDescent="0.25">
      <c r="A17" s="25">
        <v>16</v>
      </c>
      <c r="B17" s="22" t="s">
        <v>155</v>
      </c>
      <c r="C17" s="28" t="s">
        <v>189</v>
      </c>
      <c r="D17" s="26"/>
      <c r="E17" s="25" t="s">
        <v>4</v>
      </c>
      <c r="F17" s="25" t="str" cm="1">
        <f t="array" ref="F17">INDEX(_xll.DUCKDB.EXEC($D$2,B17:C17),2)</f>
        <v>INTEGER</v>
      </c>
      <c r="G17" s="25" t="str">
        <f t="shared" ref="G17" si="15">IF(E17=F17,"PASS","FAIL")</f>
        <v>PASS</v>
      </c>
      <c r="H17" s="26"/>
      <c r="I17" s="22">
        <v>-10</v>
      </c>
      <c r="J17" s="22" cm="1">
        <f t="array" ref="J17">INDEX(_xll.DUCKDB.EXEC($H$2,B17:C17),2)</f>
        <v>-10</v>
      </c>
      <c r="K17" s="25" t="str">
        <f t="shared" ref="K17" si="16">IF(ISNA(I17),IF(ISNA(J17),"PASS","FAIL"),IFERROR(IF(I17=J17,"PASS","FAIL"),"FAIL"))</f>
        <v>PASS</v>
      </c>
    </row>
    <row r="18" spans="1:11" x14ac:dyDescent="0.25">
      <c r="A18" s="25">
        <v>17</v>
      </c>
      <c r="B18" s="22" t="s">
        <v>156</v>
      </c>
      <c r="C18" s="22">
        <v>1.2</v>
      </c>
      <c r="D18" s="26"/>
      <c r="E18" s="25" t="s">
        <v>12</v>
      </c>
      <c r="F18" s="25" t="str" cm="1">
        <f t="array" ref="F18">INDEX(_xll.DUCKDB.EXEC($D$2,B18:C18),2)</f>
        <v>DOUBLE</v>
      </c>
      <c r="G18" s="25" t="str">
        <f t="shared" si="0"/>
        <v>PASS</v>
      </c>
      <c r="H18" s="26"/>
      <c r="I18" s="22">
        <f>C18</f>
        <v>1.2</v>
      </c>
      <c r="J18" s="22" cm="1">
        <f t="array" ref="J18">INDEX(_xll.DUCKDB.EXEC($H$2,B18:C18),2)</f>
        <v>1.2</v>
      </c>
      <c r="K18" s="25" t="str">
        <f t="shared" si="1"/>
        <v>PASS</v>
      </c>
    </row>
    <row r="19" spans="1:11" x14ac:dyDescent="0.25">
      <c r="A19" s="25">
        <v>18</v>
      </c>
      <c r="B19" s="22" t="s">
        <v>156</v>
      </c>
      <c r="C19" s="22">
        <v>-1.2</v>
      </c>
      <c r="D19" s="26"/>
      <c r="E19" s="25" t="s">
        <v>12</v>
      </c>
      <c r="F19" s="25" t="str" cm="1">
        <f t="array" ref="F19">INDEX(_xll.DUCKDB.EXEC($D$2,B19:C19),2)</f>
        <v>DOUBLE</v>
      </c>
      <c r="G19" s="25" t="str">
        <f t="shared" ref="G19" si="17">IF(E19=F19,"PASS","FAIL")</f>
        <v>PASS</v>
      </c>
      <c r="H19" s="26"/>
      <c r="I19" s="22">
        <f>C19</f>
        <v>-1.2</v>
      </c>
      <c r="J19" s="22" cm="1">
        <f t="array" ref="J19">INDEX(_xll.DUCKDB.EXEC($H$2,B19:C19),2)</f>
        <v>-1.2</v>
      </c>
      <c r="K19" s="25" t="str">
        <f t="shared" ref="K19" si="18">IF(ISNA(I19),IF(ISNA(J19),"PASS","FAIL"),IFERROR(IF(I19=J19,"PASS","FAIL"),"FAIL"))</f>
        <v>PASS</v>
      </c>
    </row>
    <row r="20" spans="1:11" x14ac:dyDescent="0.25">
      <c r="A20" s="25">
        <v>19</v>
      </c>
      <c r="B20" s="22" t="s">
        <v>157</v>
      </c>
      <c r="C20" s="28" t="s">
        <v>110</v>
      </c>
      <c r="D20" s="26"/>
      <c r="E20" s="25" t="s">
        <v>12</v>
      </c>
      <c r="F20" s="25" t="str" cm="1">
        <f t="array" ref="F20">INDEX(_xll.DUCKDB.EXEC($D$2,B20:C20),2)</f>
        <v>DOUBLE</v>
      </c>
      <c r="G20" s="25" t="str">
        <f t="shared" si="0"/>
        <v>PASS</v>
      </c>
      <c r="H20" s="26"/>
      <c r="I20" s="22">
        <v>1.2</v>
      </c>
      <c r="J20" s="22" cm="1">
        <f t="array" ref="J20">INDEX(_xll.DUCKDB.EXEC($H$2,B20:C20),2)</f>
        <v>1.2</v>
      </c>
      <c r="K20" s="25" t="str">
        <f t="shared" si="1"/>
        <v>PASS</v>
      </c>
    </row>
    <row r="21" spans="1:11" x14ac:dyDescent="0.25">
      <c r="A21" s="25">
        <v>20</v>
      </c>
      <c r="B21" s="22" t="s">
        <v>157</v>
      </c>
      <c r="C21" s="28" t="s">
        <v>190</v>
      </c>
      <c r="D21" s="26"/>
      <c r="E21" s="25" t="s">
        <v>12</v>
      </c>
      <c r="F21" s="25" t="str" cm="1">
        <f t="array" ref="F21">INDEX(_xll.DUCKDB.EXEC($D$2,B21:C21),2)</f>
        <v>DOUBLE</v>
      </c>
      <c r="G21" s="25" t="str">
        <f t="shared" ref="G21" si="19">IF(E21=F21,"PASS","FAIL")</f>
        <v>PASS</v>
      </c>
      <c r="H21" s="26"/>
      <c r="I21" s="22">
        <v>-1.2</v>
      </c>
      <c r="J21" s="22" cm="1">
        <f t="array" ref="J21">INDEX(_xll.DUCKDB.EXEC($H$2,B21:C21),2)</f>
        <v>-1.2</v>
      </c>
      <c r="K21" s="25" t="str">
        <f t="shared" ref="K21" si="20">IF(ISNA(I21),IF(ISNA(J21),"PASS","FAIL"),IFERROR(IF(I21=J21,"PASS","FAIL"),"FAIL"))</f>
        <v>PASS</v>
      </c>
    </row>
    <row r="22" spans="1:11" x14ac:dyDescent="0.25">
      <c r="A22" s="25">
        <v>21</v>
      </c>
      <c r="B22" s="22" t="s">
        <v>158</v>
      </c>
      <c r="C22" s="28" t="s">
        <v>111</v>
      </c>
      <c r="D22" s="26"/>
      <c r="E22" s="25" t="s">
        <v>12</v>
      </c>
      <c r="F22" s="25" t="str" cm="1">
        <f t="array" ref="F22">INDEX(_xll.DUCKDB.EXEC($D$2,B22:C22),2)</f>
        <v>DOUBLE</v>
      </c>
      <c r="G22" s="25" t="str">
        <f t="shared" si="0"/>
        <v>PASS</v>
      </c>
      <c r="H22" s="26"/>
      <c r="I22" s="22">
        <v>1.2</v>
      </c>
      <c r="J22" s="22" cm="1">
        <f t="array" ref="J22">INDEX(_xll.DUCKDB.EXEC($H$2,B22:C22),2)</f>
        <v>1.2</v>
      </c>
      <c r="K22" s="25" t="str">
        <f t="shared" si="1"/>
        <v>PASS</v>
      </c>
    </row>
    <row r="23" spans="1:11" x14ac:dyDescent="0.25">
      <c r="A23" s="25">
        <v>22</v>
      </c>
      <c r="B23" s="22" t="s">
        <v>158</v>
      </c>
      <c r="C23" s="28" t="s">
        <v>191</v>
      </c>
      <c r="D23" s="26"/>
      <c r="E23" s="25" t="s">
        <v>12</v>
      </c>
      <c r="F23" s="25" t="str" cm="1">
        <f t="array" ref="F23">INDEX(_xll.DUCKDB.EXEC($D$2,B23:C23),2)</f>
        <v>DOUBLE</v>
      </c>
      <c r="G23" s="25" t="str">
        <f t="shared" ref="G23:G24" si="21">IF(E23=F23,"PASS","FAIL")</f>
        <v>PASS</v>
      </c>
      <c r="H23" s="26"/>
      <c r="I23" s="22">
        <v>-1.2</v>
      </c>
      <c r="J23" s="22" cm="1">
        <f t="array" ref="J23">INDEX(_xll.DUCKDB.EXEC($H$2,B23:C23),2)</f>
        <v>-1.2</v>
      </c>
      <c r="K23" s="25" t="str">
        <f t="shared" ref="K23:K24" si="22">IF(ISNA(I23),IF(ISNA(J23),"PASS","FAIL"),IFERROR(IF(I23=J23,"PASS","FAIL"),"FAIL"))</f>
        <v>PASS</v>
      </c>
    </row>
    <row r="24" spans="1:11" x14ac:dyDescent="0.25">
      <c r="A24" s="25">
        <v>23</v>
      </c>
      <c r="B24" s="22" t="s">
        <v>158</v>
      </c>
      <c r="C24" s="28" t="s">
        <v>192</v>
      </c>
      <c r="D24" s="26"/>
      <c r="E24" s="25" t="s">
        <v>12</v>
      </c>
      <c r="F24" s="25" t="str" cm="1">
        <f t="array" ref="F24">INDEX(_xll.DUCKDB.EXEC($D$2,B24:C24),2)</f>
        <v>DOUBLE</v>
      </c>
      <c r="G24" s="25" t="str">
        <f t="shared" si="21"/>
        <v>PASS</v>
      </c>
      <c r="H24" s="26"/>
      <c r="I24" s="22">
        <v>1.2E-2</v>
      </c>
      <c r="J24" s="22" cm="1">
        <f t="array" ref="J24">INDEX(_xll.DUCKDB.EXEC($H$2,B24:C24),2)</f>
        <v>1.2E-2</v>
      </c>
      <c r="K24" s="25" t="str">
        <f t="shared" si="22"/>
        <v>PASS</v>
      </c>
    </row>
    <row r="25" spans="1:11" x14ac:dyDescent="0.25">
      <c r="A25" s="25">
        <v>24</v>
      </c>
      <c r="B25" s="22" t="s">
        <v>158</v>
      </c>
      <c r="C25" s="28" t="s">
        <v>193</v>
      </c>
      <c r="D25" s="26"/>
      <c r="E25" s="25" t="s">
        <v>12</v>
      </c>
      <c r="F25" s="25" t="str" cm="1">
        <f t="array" ref="F25">INDEX(_xll.DUCKDB.EXEC($D$2,B25:C25),2)</f>
        <v>DOUBLE</v>
      </c>
      <c r="G25" s="25" t="str">
        <f t="shared" ref="G25" si="23">IF(E25=F25,"PASS","FAIL")</f>
        <v>PASS</v>
      </c>
      <c r="H25" s="26"/>
      <c r="I25" s="22">
        <v>-1.2E-2</v>
      </c>
      <c r="J25" s="22" cm="1">
        <f t="array" ref="J25">INDEX(_xll.DUCKDB.EXEC($H$2,B25:C25),2)</f>
        <v>-1.2E-2</v>
      </c>
      <c r="K25" s="25" t="str">
        <f t="shared" ref="K25" si="24">IF(ISNA(I25),IF(ISNA(J25),"PASS","FAIL"),IFERROR(IF(I25=J25,"PASS","FAIL"),"FAIL"))</f>
        <v>PASS</v>
      </c>
    </row>
    <row r="26" spans="1:11" x14ac:dyDescent="0.25">
      <c r="A26" s="25">
        <v>25</v>
      </c>
      <c r="B26" s="22" t="s">
        <v>168</v>
      </c>
      <c r="C26" s="22">
        <v>2147483648</v>
      </c>
      <c r="D26" s="26"/>
      <c r="E26" s="25" t="s">
        <v>12</v>
      </c>
      <c r="F26" s="25" t="str" cm="1">
        <f t="array" ref="F26">INDEX(_xll.DUCKDB.EXEC($D$2,B26:C26),2)</f>
        <v>DOUBLE</v>
      </c>
      <c r="G26" s="25" t="str">
        <f t="shared" si="0"/>
        <v>PASS</v>
      </c>
      <c r="H26" s="26"/>
      <c r="I26" s="22">
        <f>C26</f>
        <v>2147483648</v>
      </c>
      <c r="J26" s="22" cm="1">
        <f t="array" ref="J26">INDEX(_xll.DUCKDB.EXEC($H$2,B26:C26),2)</f>
        <v>2147483648</v>
      </c>
      <c r="K26" s="25" t="str">
        <f t="shared" si="1"/>
        <v>PASS</v>
      </c>
    </row>
    <row r="27" spans="1:11" x14ac:dyDescent="0.25">
      <c r="A27" s="25">
        <v>26</v>
      </c>
      <c r="B27" s="22" t="s">
        <v>168</v>
      </c>
      <c r="C27" s="22">
        <v>-2147483649</v>
      </c>
      <c r="D27" s="26"/>
      <c r="E27" s="25" t="s">
        <v>12</v>
      </c>
      <c r="F27" s="25" t="str" cm="1">
        <f t="array" ref="F27">INDEX(_xll.DUCKDB.EXEC($D$2,B27:C27),2)</f>
        <v>DOUBLE</v>
      </c>
      <c r="G27" s="25" t="str">
        <f t="shared" ref="G27" si="25">IF(E27=F27,"PASS","FAIL")</f>
        <v>PASS</v>
      </c>
      <c r="H27" s="26"/>
      <c r="I27" s="22">
        <f>C27</f>
        <v>-2147483649</v>
      </c>
      <c r="J27" s="22" cm="1">
        <f t="array" ref="J27">INDEX(_xll.DUCKDB.EXEC($H$2,B27:C27),2)</f>
        <v>-2147483649</v>
      </c>
      <c r="K27" s="25" t="str">
        <f t="shared" ref="K27" si="26">IF(ISNA(I27),IF(ISNA(J27),"PASS","FAIL"),IFERROR(IF(I27=J27,"PASS","FAIL"),"FAIL"))</f>
        <v>PASS</v>
      </c>
    </row>
    <row r="28" spans="1:11" x14ac:dyDescent="0.25">
      <c r="A28" s="25">
        <v>27</v>
      </c>
      <c r="B28" s="22" t="s">
        <v>169</v>
      </c>
      <c r="C28" s="28" t="s">
        <v>112</v>
      </c>
      <c r="D28" s="26"/>
      <c r="E28" s="25" t="s">
        <v>12</v>
      </c>
      <c r="F28" s="25" t="str" cm="1">
        <f t="array" ref="F28">INDEX(_xll.DUCKDB.EXEC($D$2,B28:C28),2)</f>
        <v>DOUBLE</v>
      </c>
      <c r="G28" s="25" t="str">
        <f t="shared" si="0"/>
        <v>PASS</v>
      </c>
      <c r="H28" s="26"/>
      <c r="I28" s="22">
        <v>2147483648</v>
      </c>
      <c r="J28" s="22" cm="1">
        <f t="array" ref="J28">INDEX(_xll.DUCKDB.EXEC($H$2,B28:C28),2)</f>
        <v>2147483648</v>
      </c>
      <c r="K28" s="25" t="str">
        <f t="shared" si="1"/>
        <v>PASS</v>
      </c>
    </row>
    <row r="29" spans="1:11" x14ac:dyDescent="0.25">
      <c r="A29" s="25">
        <v>28</v>
      </c>
      <c r="B29" s="22" t="s">
        <v>169</v>
      </c>
      <c r="C29" s="28" t="s">
        <v>194</v>
      </c>
      <c r="D29" s="26"/>
      <c r="E29" s="25" t="s">
        <v>12</v>
      </c>
      <c r="F29" s="25" t="str" cm="1">
        <f t="array" ref="F29">INDEX(_xll.DUCKDB.EXEC($D$2,B29:C29),2)</f>
        <v>DOUBLE</v>
      </c>
      <c r="G29" s="25" t="str">
        <f t="shared" ref="G29" si="27">IF(E29=F29,"PASS","FAIL")</f>
        <v>PASS</v>
      </c>
      <c r="H29" s="26"/>
      <c r="I29" s="22">
        <v>-2147483649</v>
      </c>
      <c r="J29" s="22" cm="1">
        <f t="array" ref="J29">INDEX(_xll.DUCKDB.EXEC($H$2,B29:C29),2)</f>
        <v>-2147483649</v>
      </c>
      <c r="K29" s="25" t="str">
        <f t="shared" ref="K29" si="28">IF(ISNA(I29),IF(ISNA(J29),"PASS","FAIL"),IFERROR(IF(I29=J29,"PASS","FAIL"),"FAIL"))</f>
        <v>PASS</v>
      </c>
    </row>
    <row r="30" spans="1:11" x14ac:dyDescent="0.25">
      <c r="A30" s="25">
        <v>29</v>
      </c>
      <c r="B30" s="22" t="s">
        <v>159</v>
      </c>
      <c r="C30" s="22" t="b">
        <v>1</v>
      </c>
      <c r="D30" s="26"/>
      <c r="E30" s="25" t="s">
        <v>7</v>
      </c>
      <c r="F30" s="25" t="str" cm="1">
        <f t="array" ref="F30">INDEX(_xll.DUCKDB.EXEC($D$2,B30:C30),2)</f>
        <v>BOOLEAN</v>
      </c>
      <c r="G30" s="25" t="str">
        <f t="shared" si="0"/>
        <v>PASS</v>
      </c>
      <c r="H30" s="26"/>
      <c r="I30" s="22" t="b">
        <f>C30</f>
        <v>1</v>
      </c>
      <c r="J30" s="22" t="b" cm="1">
        <f t="array" ref="J30">INDEX(_xll.DUCKDB.EXEC($H$2,B30:C30),2)</f>
        <v>1</v>
      </c>
      <c r="K30" s="25" t="str">
        <f t="shared" si="1"/>
        <v>PASS</v>
      </c>
    </row>
    <row r="31" spans="1:11" x14ac:dyDescent="0.25">
      <c r="A31" s="25">
        <v>30</v>
      </c>
      <c r="B31" s="22" t="s">
        <v>159</v>
      </c>
      <c r="C31" s="22" t="b">
        <v>0</v>
      </c>
      <c r="D31" s="26"/>
      <c r="E31" s="25" t="s">
        <v>7</v>
      </c>
      <c r="F31" s="25" t="str" cm="1">
        <f t="array" ref="F31">INDEX(_xll.DUCKDB.EXEC($D$2,B31:C31),2)</f>
        <v>BOOLEAN</v>
      </c>
      <c r="G31" s="25" t="str">
        <f t="shared" si="0"/>
        <v>PASS</v>
      </c>
      <c r="H31" s="26"/>
      <c r="I31" s="22" t="b">
        <f>C31</f>
        <v>0</v>
      </c>
      <c r="J31" s="22" t="b" cm="1">
        <f t="array" ref="J31">INDEX(_xll.DUCKDB.EXEC($H$2,B31:C31),2)</f>
        <v>0</v>
      </c>
      <c r="K31" s="25" t="str">
        <f t="shared" si="1"/>
        <v>PASS</v>
      </c>
    </row>
    <row r="32" spans="1:11" x14ac:dyDescent="0.25">
      <c r="A32" s="25">
        <v>31</v>
      </c>
      <c r="B32" s="22" t="s">
        <v>160</v>
      </c>
      <c r="C32" s="28" t="s">
        <v>113</v>
      </c>
      <c r="D32" s="26"/>
      <c r="E32" s="25" t="s">
        <v>7</v>
      </c>
      <c r="F32" s="25" t="str" cm="1">
        <f t="array" ref="F32">INDEX(_xll.DUCKDB.EXEC($D$2,B32:C32),2)</f>
        <v>BOOLEAN</v>
      </c>
      <c r="G32" s="25" t="str">
        <f t="shared" si="0"/>
        <v>PASS</v>
      </c>
      <c r="H32" s="26"/>
      <c r="I32" s="22" t="b">
        <v>1</v>
      </c>
      <c r="J32" s="22" t="b" cm="1">
        <f t="array" ref="J32">INDEX(_xll.DUCKDB.EXEC($H$2,B32:C32),2)</f>
        <v>1</v>
      </c>
      <c r="K32" s="25" t="str">
        <f t="shared" si="1"/>
        <v>PASS</v>
      </c>
    </row>
    <row r="33" spans="1:11" x14ac:dyDescent="0.25">
      <c r="A33" s="25">
        <v>32</v>
      </c>
      <c r="B33" s="22" t="s">
        <v>160</v>
      </c>
      <c r="C33" s="28" t="s">
        <v>114</v>
      </c>
      <c r="D33" s="26"/>
      <c r="E33" s="25" t="s">
        <v>7</v>
      </c>
      <c r="F33" s="25" t="str" cm="1">
        <f t="array" ref="F33">INDEX(_xll.DUCKDB.EXEC($D$2,B33:C33),2)</f>
        <v>BOOLEAN</v>
      </c>
      <c r="G33" s="25" t="str">
        <f t="shared" si="0"/>
        <v>PASS</v>
      </c>
      <c r="H33" s="26"/>
      <c r="I33" s="22" t="b">
        <v>0</v>
      </c>
      <c r="J33" s="22" t="b" cm="1">
        <f t="array" ref="J33">INDEX(_xll.DUCKDB.EXEC($H$2,B33:C33),2)</f>
        <v>0</v>
      </c>
      <c r="K33" s="25" t="str">
        <f t="shared" si="1"/>
        <v>PASS</v>
      </c>
    </row>
    <row r="34" spans="1:11" x14ac:dyDescent="0.25">
      <c r="A34" s="25">
        <v>33</v>
      </c>
      <c r="B34" s="22" t="s">
        <v>160</v>
      </c>
      <c r="C34" s="28" t="s">
        <v>115</v>
      </c>
      <c r="D34" s="26"/>
      <c r="E34" s="25" t="s">
        <v>7</v>
      </c>
      <c r="F34" s="25" t="str" cm="1">
        <f t="array" ref="F34">INDEX(_xll.DUCKDB.EXEC($D$2,B34:C34),2)</f>
        <v>BOOLEAN</v>
      </c>
      <c r="G34" s="25" t="str">
        <f t="shared" si="0"/>
        <v>PASS</v>
      </c>
      <c r="H34" s="26"/>
      <c r="I34" s="22" t="b">
        <v>1</v>
      </c>
      <c r="J34" s="22" t="b" cm="1">
        <f t="array" ref="J34">INDEX(_xll.DUCKDB.EXEC($H$2,B34:C34),2)</f>
        <v>1</v>
      </c>
      <c r="K34" s="25" t="str">
        <f t="shared" si="1"/>
        <v>PASS</v>
      </c>
    </row>
    <row r="35" spans="1:11" x14ac:dyDescent="0.25">
      <c r="A35" s="25">
        <v>34</v>
      </c>
      <c r="B35" s="22" t="s">
        <v>160</v>
      </c>
      <c r="C35" s="28" t="s">
        <v>116</v>
      </c>
      <c r="D35" s="26"/>
      <c r="E35" s="25" t="s">
        <v>7</v>
      </c>
      <c r="F35" s="25" t="str" cm="1">
        <f t="array" ref="F35">INDEX(_xll.DUCKDB.EXEC($D$2,B35:C35),2)</f>
        <v>BOOLEAN</v>
      </c>
      <c r="G35" s="25" t="str">
        <f t="shared" si="0"/>
        <v>PASS</v>
      </c>
      <c r="H35" s="26"/>
      <c r="I35" s="22" t="b">
        <v>0</v>
      </c>
      <c r="J35" s="22" t="b" cm="1">
        <f t="array" ref="J35">INDEX(_xll.DUCKDB.EXEC($H$2,B35:C35),2)</f>
        <v>0</v>
      </c>
      <c r="K35" s="25" t="str">
        <f t="shared" si="1"/>
        <v>PASS</v>
      </c>
    </row>
    <row r="36" spans="1:11" x14ac:dyDescent="0.25">
      <c r="A36" s="25">
        <v>35</v>
      </c>
      <c r="B36" s="22" t="s">
        <v>160</v>
      </c>
      <c r="C36" s="28" t="s">
        <v>118</v>
      </c>
      <c r="D36" s="26"/>
      <c r="E36" s="25" t="s">
        <v>7</v>
      </c>
      <c r="F36" s="25" t="str" cm="1">
        <f t="array" ref="F36">INDEX(_xll.DUCKDB.EXEC($D$2,B36:C36),2)</f>
        <v>BOOLEAN</v>
      </c>
      <c r="G36" s="25" t="str">
        <f t="shared" si="0"/>
        <v>PASS</v>
      </c>
      <c r="H36" s="26"/>
      <c r="I36" s="22" t="b">
        <v>1</v>
      </c>
      <c r="J36" s="22" t="b" cm="1">
        <f t="array" ref="J36">INDEX(_xll.DUCKDB.EXEC($H$2,B36:C36),2)</f>
        <v>1</v>
      </c>
      <c r="K36" s="25" t="str">
        <f t="shared" si="1"/>
        <v>PASS</v>
      </c>
    </row>
    <row r="37" spans="1:11" x14ac:dyDescent="0.25">
      <c r="A37" s="25">
        <v>36</v>
      </c>
      <c r="B37" s="22" t="s">
        <v>160</v>
      </c>
      <c r="C37" s="28" t="s">
        <v>119</v>
      </c>
      <c r="D37" s="26"/>
      <c r="E37" s="25" t="s">
        <v>7</v>
      </c>
      <c r="F37" s="25" t="str" cm="1">
        <f t="array" ref="F37">INDEX(_xll.DUCKDB.EXEC($D$2,B37:C37),2)</f>
        <v>BOOLEAN</v>
      </c>
      <c r="G37" s="25" t="str">
        <f t="shared" si="0"/>
        <v>PASS</v>
      </c>
      <c r="H37" s="26"/>
      <c r="I37" s="22" t="b">
        <v>0</v>
      </c>
      <c r="J37" s="22" t="b" cm="1">
        <f t="array" ref="J37">INDEX(_xll.DUCKDB.EXEC($H$2,B37:C37),2)</f>
        <v>0</v>
      </c>
      <c r="K37" s="25" t="str">
        <f t="shared" si="1"/>
        <v>PASS</v>
      </c>
    </row>
    <row r="38" spans="1:11" x14ac:dyDescent="0.25">
      <c r="A38" s="25">
        <v>37</v>
      </c>
      <c r="B38" s="22" t="s">
        <v>160</v>
      </c>
      <c r="C38" s="28" t="s">
        <v>117</v>
      </c>
      <c r="D38" s="26"/>
      <c r="E38" s="25" t="s">
        <v>7</v>
      </c>
      <c r="F38" s="25" t="str" cm="1">
        <f t="array" ref="F38">INDEX(_xll.DUCKDB.EXEC($D$2,B38:C38),2)</f>
        <v>BOOLEAN</v>
      </c>
      <c r="G38" s="25" t="str">
        <f t="shared" si="0"/>
        <v>PASS</v>
      </c>
      <c r="H38" s="26"/>
      <c r="I38" s="22" t="b">
        <v>1</v>
      </c>
      <c r="J38" s="22" t="b" cm="1">
        <f t="array" ref="J38">INDEX(_xll.DUCKDB.EXEC($H$2,B38:C38),2)</f>
        <v>1</v>
      </c>
      <c r="K38" s="25" t="str">
        <f t="shared" si="1"/>
        <v>PASS</v>
      </c>
    </row>
    <row r="39" spans="1:11" x14ac:dyDescent="0.25">
      <c r="A39" s="25">
        <v>38</v>
      </c>
      <c r="B39" s="22" t="s">
        <v>160</v>
      </c>
      <c r="C39" s="28" t="s">
        <v>120</v>
      </c>
      <c r="D39" s="26"/>
      <c r="E39" s="25" t="s">
        <v>7</v>
      </c>
      <c r="F39" s="25" t="str" cm="1">
        <f t="array" ref="F39">INDEX(_xll.DUCKDB.EXEC($D$2,B39:C39),2)</f>
        <v>BOOLEAN</v>
      </c>
      <c r="G39" s="25" t="str">
        <f t="shared" si="0"/>
        <v>PASS</v>
      </c>
      <c r="H39" s="26"/>
      <c r="I39" s="22" t="b">
        <v>0</v>
      </c>
      <c r="J39" s="22" t="b" cm="1">
        <f t="array" ref="J39">INDEX(_xll.DUCKDB.EXEC($H$2,B39:C39),2)</f>
        <v>0</v>
      </c>
      <c r="K39" s="25" t="str">
        <f t="shared" si="1"/>
        <v>PASS</v>
      </c>
    </row>
    <row r="40" spans="1:11" x14ac:dyDescent="0.25">
      <c r="A40" s="25">
        <v>39</v>
      </c>
      <c r="B40" s="22" t="s">
        <v>160</v>
      </c>
      <c r="C40" s="28" t="s">
        <v>121</v>
      </c>
      <c r="D40" s="26"/>
      <c r="E40" s="25" t="s">
        <v>7</v>
      </c>
      <c r="F40" s="25" t="str" cm="1">
        <f t="array" ref="F40">INDEX(_xll.DUCKDB.EXEC($D$2,B40:C40),2)</f>
        <v>BOOLEAN</v>
      </c>
      <c r="G40" s="25" t="str">
        <f t="shared" si="0"/>
        <v>PASS</v>
      </c>
      <c r="H40" s="26"/>
      <c r="I40" s="22" t="b">
        <v>1</v>
      </c>
      <c r="J40" s="22" t="b" cm="1">
        <f t="array" ref="J40">INDEX(_xll.DUCKDB.EXEC($H$2,B40:C40),2)</f>
        <v>1</v>
      </c>
      <c r="K40" s="25" t="str">
        <f t="shared" si="1"/>
        <v>PASS</v>
      </c>
    </row>
    <row r="41" spans="1:11" x14ac:dyDescent="0.25">
      <c r="A41" s="25">
        <v>40</v>
      </c>
      <c r="B41" s="22" t="s">
        <v>160</v>
      </c>
      <c r="C41" s="28" t="s">
        <v>122</v>
      </c>
      <c r="D41" s="26"/>
      <c r="E41" s="25" t="s">
        <v>7</v>
      </c>
      <c r="F41" s="25" t="str" cm="1">
        <f t="array" ref="F41">INDEX(_xll.DUCKDB.EXEC($D$2,B41:C41),2)</f>
        <v>BOOLEAN</v>
      </c>
      <c r="G41" s="25" t="str">
        <f t="shared" si="0"/>
        <v>PASS</v>
      </c>
      <c r="H41" s="26"/>
      <c r="I41" s="22" t="b">
        <v>0</v>
      </c>
      <c r="J41" s="22" t="b" cm="1">
        <f t="array" ref="J41">INDEX(_xll.DUCKDB.EXEC($H$2,B41:C41),2)</f>
        <v>0</v>
      </c>
      <c r="K41" s="25" t="str">
        <f t="shared" si="1"/>
        <v>PASS</v>
      </c>
    </row>
    <row r="42" spans="1:11" x14ac:dyDescent="0.25">
      <c r="A42" s="25">
        <v>41</v>
      </c>
      <c r="B42" s="22" t="s">
        <v>160</v>
      </c>
      <c r="C42" s="28" t="s">
        <v>123</v>
      </c>
      <c r="D42" s="26"/>
      <c r="E42" s="25" t="s">
        <v>7</v>
      </c>
      <c r="F42" s="25" t="str" cm="1">
        <f t="array" ref="F42">INDEX(_xll.DUCKDB.EXEC($D$2,B42:C42),2)</f>
        <v>BOOLEAN</v>
      </c>
      <c r="G42" s="25" t="str">
        <f t="shared" si="0"/>
        <v>PASS</v>
      </c>
      <c r="H42" s="26"/>
      <c r="I42" s="22" t="b">
        <v>1</v>
      </c>
      <c r="J42" s="22" t="b" cm="1">
        <f t="array" ref="J42">INDEX(_xll.DUCKDB.EXEC($H$2,B42:C42),2)</f>
        <v>1</v>
      </c>
      <c r="K42" s="25" t="str">
        <f t="shared" si="1"/>
        <v>PASS</v>
      </c>
    </row>
    <row r="43" spans="1:11" x14ac:dyDescent="0.25">
      <c r="A43" s="25">
        <v>42</v>
      </c>
      <c r="B43" s="22" t="s">
        <v>160</v>
      </c>
      <c r="C43" s="28" t="s">
        <v>124</v>
      </c>
      <c r="D43" s="26"/>
      <c r="E43" s="25" t="s">
        <v>7</v>
      </c>
      <c r="F43" s="25" t="str" cm="1">
        <f t="array" ref="F43">INDEX(_xll.DUCKDB.EXEC($D$2,B43:C43),2)</f>
        <v>BOOLEAN</v>
      </c>
      <c r="G43" s="25" t="str">
        <f t="shared" si="0"/>
        <v>PASS</v>
      </c>
      <c r="H43" s="26"/>
      <c r="I43" s="22" t="b">
        <v>0</v>
      </c>
      <c r="J43" s="22" t="b" cm="1">
        <f t="array" ref="J43">INDEX(_xll.DUCKDB.EXEC($H$2,B43:C43),2)</f>
        <v>0</v>
      </c>
      <c r="K43" s="25" t="str">
        <f t="shared" si="1"/>
        <v>PASS</v>
      </c>
    </row>
    <row r="44" spans="1:11" x14ac:dyDescent="0.25">
      <c r="A44" s="25">
        <v>43</v>
      </c>
      <c r="B44" s="22" t="s">
        <v>161</v>
      </c>
      <c r="C44" s="22" t="s">
        <v>125</v>
      </c>
      <c r="D44" s="26"/>
      <c r="E44" s="25" t="s">
        <v>7</v>
      </c>
      <c r="F44" s="25" t="str" cm="1">
        <f t="array" ref="F44">INDEX(_xll.DUCKDB.EXEC($D$2,B44:C44),2)</f>
        <v>BOOLEAN</v>
      </c>
      <c r="G44" s="25" t="str">
        <f t="shared" ref="G44:G55" si="29">IF(E44=F44,"PASS","FAIL")</f>
        <v>PASS</v>
      </c>
      <c r="H44" s="26"/>
      <c r="I44" s="22" t="b">
        <v>1</v>
      </c>
      <c r="J44" s="22" t="b" cm="1">
        <f t="array" ref="J44">INDEX(_xll.DUCKDB.EXEC($H$2,B44:C44),2)</f>
        <v>1</v>
      </c>
      <c r="K44" s="25" t="str">
        <f t="shared" si="1"/>
        <v>PASS</v>
      </c>
    </row>
    <row r="45" spans="1:11" x14ac:dyDescent="0.25">
      <c r="A45" s="25">
        <v>44</v>
      </c>
      <c r="B45" s="22" t="s">
        <v>161</v>
      </c>
      <c r="C45" s="22" t="s">
        <v>126</v>
      </c>
      <c r="D45" s="26"/>
      <c r="E45" s="25" t="s">
        <v>7</v>
      </c>
      <c r="F45" s="25" t="str" cm="1">
        <f t="array" ref="F45">INDEX(_xll.DUCKDB.EXEC($D$2,B45:C45),2)</f>
        <v>BOOLEAN</v>
      </c>
      <c r="G45" s="25" t="str">
        <f t="shared" si="29"/>
        <v>PASS</v>
      </c>
      <c r="H45" s="26"/>
      <c r="I45" s="22" t="b">
        <v>0</v>
      </c>
      <c r="J45" s="22" t="b" cm="1">
        <f t="array" ref="J45">INDEX(_xll.DUCKDB.EXEC($H$2,B45:C45),2)</f>
        <v>0</v>
      </c>
      <c r="K45" s="25" t="str">
        <f t="shared" si="1"/>
        <v>PASS</v>
      </c>
    </row>
    <row r="46" spans="1:11" x14ac:dyDescent="0.25">
      <c r="A46" s="25">
        <v>45</v>
      </c>
      <c r="B46" s="22" t="s">
        <v>161</v>
      </c>
      <c r="C46" s="22" t="s">
        <v>127</v>
      </c>
      <c r="D46" s="26"/>
      <c r="E46" s="25" t="s">
        <v>7</v>
      </c>
      <c r="F46" s="25" t="str" cm="1">
        <f t="array" ref="F46">INDEX(_xll.DUCKDB.EXEC($D$2,B46:C46),2)</f>
        <v>BOOLEAN</v>
      </c>
      <c r="G46" s="25" t="str">
        <f t="shared" si="29"/>
        <v>PASS</v>
      </c>
      <c r="H46" s="26"/>
      <c r="I46" s="22" t="b">
        <v>1</v>
      </c>
      <c r="J46" s="22" t="b" cm="1">
        <f t="array" ref="J46">INDEX(_xll.DUCKDB.EXEC($H$2,B46:C46),2)</f>
        <v>1</v>
      </c>
      <c r="K46" s="25" t="str">
        <f t="shared" si="1"/>
        <v>PASS</v>
      </c>
    </row>
    <row r="47" spans="1:11" x14ac:dyDescent="0.25">
      <c r="A47" s="25">
        <v>46</v>
      </c>
      <c r="B47" s="22" t="s">
        <v>161</v>
      </c>
      <c r="C47" s="22" t="s">
        <v>128</v>
      </c>
      <c r="D47" s="26"/>
      <c r="E47" s="25" t="s">
        <v>7</v>
      </c>
      <c r="F47" s="25" t="str" cm="1">
        <f t="array" ref="F47">INDEX(_xll.DUCKDB.EXEC($D$2,B47:C47),2)</f>
        <v>BOOLEAN</v>
      </c>
      <c r="G47" s="25" t="str">
        <f t="shared" si="29"/>
        <v>PASS</v>
      </c>
      <c r="H47" s="26"/>
      <c r="I47" s="22" t="b">
        <v>0</v>
      </c>
      <c r="J47" s="22" t="b" cm="1">
        <f t="array" ref="J47">INDEX(_xll.DUCKDB.EXEC($H$2,B47:C47),2)</f>
        <v>0</v>
      </c>
      <c r="K47" s="25" t="str">
        <f t="shared" si="1"/>
        <v>PASS</v>
      </c>
    </row>
    <row r="48" spans="1:11" x14ac:dyDescent="0.25">
      <c r="A48" s="25">
        <v>47</v>
      </c>
      <c r="B48" s="22" t="s">
        <v>161</v>
      </c>
      <c r="C48" s="22" t="s">
        <v>129</v>
      </c>
      <c r="D48" s="26"/>
      <c r="E48" s="25" t="s">
        <v>7</v>
      </c>
      <c r="F48" s="25" t="str" cm="1">
        <f t="array" ref="F48">INDEX(_xll.DUCKDB.EXEC($D$2,B48:C48),2)</f>
        <v>BOOLEAN</v>
      </c>
      <c r="G48" s="25" t="str">
        <f t="shared" si="29"/>
        <v>PASS</v>
      </c>
      <c r="H48" s="26"/>
      <c r="I48" s="22" t="b">
        <v>1</v>
      </c>
      <c r="J48" s="22" t="b" cm="1">
        <f t="array" ref="J48">INDEX(_xll.DUCKDB.EXEC($H$2,B48:C48),2)</f>
        <v>1</v>
      </c>
      <c r="K48" s="25" t="str">
        <f t="shared" si="1"/>
        <v>PASS</v>
      </c>
    </row>
    <row r="49" spans="1:11" x14ac:dyDescent="0.25">
      <c r="A49" s="25">
        <v>48</v>
      </c>
      <c r="B49" s="22" t="s">
        <v>161</v>
      </c>
      <c r="C49" s="22" t="s">
        <v>130</v>
      </c>
      <c r="D49" s="26"/>
      <c r="E49" s="25" t="s">
        <v>7</v>
      </c>
      <c r="F49" s="25" t="str" cm="1">
        <f t="array" ref="F49">INDEX(_xll.DUCKDB.EXEC($D$2,B49:C49),2)</f>
        <v>BOOLEAN</v>
      </c>
      <c r="G49" s="25" t="str">
        <f t="shared" si="29"/>
        <v>PASS</v>
      </c>
      <c r="H49" s="26"/>
      <c r="I49" s="22" t="b">
        <v>0</v>
      </c>
      <c r="J49" s="22" t="b" cm="1">
        <f t="array" ref="J49">INDEX(_xll.DUCKDB.EXEC($H$2,B49:C49),2)</f>
        <v>0</v>
      </c>
      <c r="K49" s="25" t="str">
        <f t="shared" si="1"/>
        <v>PASS</v>
      </c>
    </row>
    <row r="50" spans="1:11" x14ac:dyDescent="0.25">
      <c r="A50" s="25">
        <v>49</v>
      </c>
      <c r="B50" s="22" t="s">
        <v>161</v>
      </c>
      <c r="C50" s="22" t="s">
        <v>131</v>
      </c>
      <c r="D50" s="26"/>
      <c r="E50" s="25" t="s">
        <v>7</v>
      </c>
      <c r="F50" s="25" t="str" cm="1">
        <f t="array" ref="F50">INDEX(_xll.DUCKDB.EXEC($D$2,B50:C50),2)</f>
        <v>BOOLEAN</v>
      </c>
      <c r="G50" s="25" t="str">
        <f t="shared" si="29"/>
        <v>PASS</v>
      </c>
      <c r="H50" s="26"/>
      <c r="I50" s="22" t="b">
        <v>1</v>
      </c>
      <c r="J50" s="22" t="b" cm="1">
        <f t="array" ref="J50">INDEX(_xll.DUCKDB.EXEC($H$2,B50:C50),2)</f>
        <v>1</v>
      </c>
      <c r="K50" s="25" t="str">
        <f t="shared" si="1"/>
        <v>PASS</v>
      </c>
    </row>
    <row r="51" spans="1:11" x14ac:dyDescent="0.25">
      <c r="A51" s="25">
        <v>50</v>
      </c>
      <c r="B51" s="22" t="s">
        <v>161</v>
      </c>
      <c r="C51" s="22" t="s">
        <v>132</v>
      </c>
      <c r="D51" s="26"/>
      <c r="E51" s="25" t="s">
        <v>7</v>
      </c>
      <c r="F51" s="25" t="str" cm="1">
        <f t="array" ref="F51">INDEX(_xll.DUCKDB.EXEC($D$2,B51:C51),2)</f>
        <v>BOOLEAN</v>
      </c>
      <c r="G51" s="25" t="str">
        <f t="shared" si="29"/>
        <v>PASS</v>
      </c>
      <c r="H51" s="26"/>
      <c r="I51" s="22" t="b">
        <v>0</v>
      </c>
      <c r="J51" s="22" t="b" cm="1">
        <f t="array" ref="J51">INDEX(_xll.DUCKDB.EXEC($H$2,B51:C51),2)</f>
        <v>0</v>
      </c>
      <c r="K51" s="25" t="str">
        <f t="shared" si="1"/>
        <v>PASS</v>
      </c>
    </row>
    <row r="52" spans="1:11" x14ac:dyDescent="0.25">
      <c r="A52" s="25">
        <v>51</v>
      </c>
      <c r="B52" s="22" t="s">
        <v>161</v>
      </c>
      <c r="C52" s="22" t="s">
        <v>133</v>
      </c>
      <c r="D52" s="26"/>
      <c r="E52" s="25" t="s">
        <v>7</v>
      </c>
      <c r="F52" s="25" t="str" cm="1">
        <f t="array" ref="F52">INDEX(_xll.DUCKDB.EXEC($D$2,B52:C52),2)</f>
        <v>BOOLEAN</v>
      </c>
      <c r="G52" s="25" t="str">
        <f t="shared" si="29"/>
        <v>PASS</v>
      </c>
      <c r="H52" s="26"/>
      <c r="I52" s="22" t="b">
        <v>1</v>
      </c>
      <c r="J52" s="22" t="b" cm="1">
        <f t="array" ref="J52">INDEX(_xll.DUCKDB.EXEC($H$2,B52:C52),2)</f>
        <v>1</v>
      </c>
      <c r="K52" s="25" t="str">
        <f t="shared" si="1"/>
        <v>PASS</v>
      </c>
    </row>
    <row r="53" spans="1:11" x14ac:dyDescent="0.25">
      <c r="A53" s="25">
        <v>52</v>
      </c>
      <c r="B53" s="22" t="s">
        <v>161</v>
      </c>
      <c r="C53" s="22" t="s">
        <v>134</v>
      </c>
      <c r="D53" s="26"/>
      <c r="E53" s="25" t="s">
        <v>7</v>
      </c>
      <c r="F53" s="25" t="str" cm="1">
        <f t="array" ref="F53">INDEX(_xll.DUCKDB.EXEC($D$2,B53:C53),2)</f>
        <v>BOOLEAN</v>
      </c>
      <c r="G53" s="25" t="str">
        <f t="shared" si="29"/>
        <v>PASS</v>
      </c>
      <c r="H53" s="26"/>
      <c r="I53" s="22" t="b">
        <v>0</v>
      </c>
      <c r="J53" s="22" t="b" cm="1">
        <f t="array" ref="J53">INDEX(_xll.DUCKDB.EXEC($H$2,B53:C53),2)</f>
        <v>0</v>
      </c>
      <c r="K53" s="25" t="str">
        <f t="shared" si="1"/>
        <v>PASS</v>
      </c>
    </row>
    <row r="54" spans="1:11" x14ac:dyDescent="0.25">
      <c r="A54" s="25">
        <v>53</v>
      </c>
      <c r="B54" s="22" t="s">
        <v>161</v>
      </c>
      <c r="C54" s="22" t="s">
        <v>135</v>
      </c>
      <c r="D54" s="26"/>
      <c r="E54" s="25" t="s">
        <v>7</v>
      </c>
      <c r="F54" s="25" t="str" cm="1">
        <f t="array" ref="F54">INDEX(_xll.DUCKDB.EXEC($D$2,B54:C54),2)</f>
        <v>BOOLEAN</v>
      </c>
      <c r="G54" s="25" t="str">
        <f t="shared" si="29"/>
        <v>PASS</v>
      </c>
      <c r="H54" s="26"/>
      <c r="I54" s="22" t="b">
        <v>1</v>
      </c>
      <c r="J54" s="22" t="b" cm="1">
        <f t="array" ref="J54">INDEX(_xll.DUCKDB.EXEC($H$2,B54:C54),2)</f>
        <v>1</v>
      </c>
      <c r="K54" s="25" t="str">
        <f t="shared" si="1"/>
        <v>PASS</v>
      </c>
    </row>
    <row r="55" spans="1:11" x14ac:dyDescent="0.25">
      <c r="A55" s="25">
        <v>54</v>
      </c>
      <c r="B55" s="22" t="s">
        <v>161</v>
      </c>
      <c r="C55" s="22" t="s">
        <v>136</v>
      </c>
      <c r="D55" s="26"/>
      <c r="E55" s="25" t="s">
        <v>7</v>
      </c>
      <c r="F55" s="25" t="str" cm="1">
        <f t="array" ref="F55">INDEX(_xll.DUCKDB.EXEC($D$2,B55:C55),2)</f>
        <v>BOOLEAN</v>
      </c>
      <c r="G55" s="25" t="str">
        <f t="shared" si="29"/>
        <v>PASS</v>
      </c>
      <c r="H55" s="26"/>
      <c r="I55" s="22" t="b">
        <v>0</v>
      </c>
      <c r="J55" s="22" t="b" cm="1">
        <f t="array" ref="J55">INDEX(_xll.DUCKDB.EXEC($H$2,B55:C55),2)</f>
        <v>0</v>
      </c>
      <c r="K55" s="25" t="str">
        <f t="shared" si="1"/>
        <v>PASS</v>
      </c>
    </row>
    <row r="56" spans="1:11" x14ac:dyDescent="0.25">
      <c r="A56" s="25">
        <v>55</v>
      </c>
      <c r="B56" s="22" t="s">
        <v>162</v>
      </c>
      <c r="C56" s="22"/>
      <c r="D56" s="26"/>
      <c r="E56" s="25" t="s">
        <v>8</v>
      </c>
      <c r="F56" s="25" t="str" cm="1">
        <f t="array" ref="F56">INDEX(_xll.DUCKDB.EXEC($D$2,B56:C56),2)</f>
        <v>VARCHAR</v>
      </c>
      <c r="G56" s="25" t="str">
        <f t="shared" ref="G56" si="30">IF(E56=F56,"PASS","FAIL")</f>
        <v>PASS</v>
      </c>
      <c r="H56" s="26"/>
      <c r="I56" s="22" t="e">
        <v>#N/A</v>
      </c>
      <c r="J56" s="22" t="e" cm="1">
        <f t="array" ref="J56">INDEX(_xll.DUCKDB.EXEC($H$2,B56:C56),2)</f>
        <v>#N/A</v>
      </c>
      <c r="K56" s="25" t="str">
        <f t="shared" si="1"/>
        <v>PASS</v>
      </c>
    </row>
    <row r="57" spans="1:11" x14ac:dyDescent="0.25">
      <c r="A57" s="25">
        <v>56</v>
      </c>
      <c r="B57" s="22" t="s">
        <v>163</v>
      </c>
      <c r="C57" s="22" t="s">
        <v>44</v>
      </c>
      <c r="D57" s="26"/>
      <c r="E57" s="25" t="s">
        <v>8</v>
      </c>
      <c r="F57" s="25" t="str" cm="1">
        <f t="array" ref="F57">INDEX(_xll.DUCKDB.EXEC($D$2,B57:C57),2)</f>
        <v>VARCHAR</v>
      </c>
      <c r="G57" s="25" t="str">
        <f t="shared" ref="G57:G64" si="31">IF(E57=F57,"PASS","FAIL")</f>
        <v>PASS</v>
      </c>
      <c r="H57" s="26"/>
      <c r="I57" s="22" t="e">
        <v>#N/A</v>
      </c>
      <c r="J57" s="22" t="e" cm="1">
        <f t="array" ref="J57">INDEX(_xll.DUCKDB.EXEC($H$2,B57:C57),2)</f>
        <v>#N/A</v>
      </c>
      <c r="K57" s="25" t="str">
        <f t="shared" si="1"/>
        <v>PASS</v>
      </c>
    </row>
    <row r="58" spans="1:11" x14ac:dyDescent="0.25">
      <c r="A58" s="25">
        <v>57</v>
      </c>
      <c r="B58" s="22" t="s">
        <v>163</v>
      </c>
      <c r="C58" s="22" t="s">
        <v>137</v>
      </c>
      <c r="D58" s="26"/>
      <c r="E58" s="25" t="s">
        <v>8</v>
      </c>
      <c r="F58" s="25" t="str" cm="1">
        <f t="array" ref="F58">INDEX(_xll.DUCKDB.EXEC($D$2,B58:C58),2)</f>
        <v>VARCHAR</v>
      </c>
      <c r="G58" s="25" t="str">
        <f t="shared" si="31"/>
        <v>PASS</v>
      </c>
      <c r="H58" s="26"/>
      <c r="I58" s="22" t="e">
        <v>#N/A</v>
      </c>
      <c r="J58" s="22" t="e" cm="1">
        <f t="array" ref="J58">INDEX(_xll.DUCKDB.EXEC($H$2,B58:C58),2)</f>
        <v>#N/A</v>
      </c>
      <c r="K58" s="25" t="str">
        <f t="shared" si="1"/>
        <v>PASS</v>
      </c>
    </row>
    <row r="59" spans="1:11" x14ac:dyDescent="0.25">
      <c r="A59" s="25">
        <v>58</v>
      </c>
      <c r="B59" s="22" t="s">
        <v>163</v>
      </c>
      <c r="C59" s="22" t="s">
        <v>138</v>
      </c>
      <c r="D59" s="26"/>
      <c r="E59" s="25" t="s">
        <v>8</v>
      </c>
      <c r="F59" s="25" t="str" cm="1">
        <f t="array" ref="F59">INDEX(_xll.DUCKDB.EXEC($D$2,B59:C59),2)</f>
        <v>VARCHAR</v>
      </c>
      <c r="G59" s="25" t="str">
        <f t="shared" si="31"/>
        <v>PASS</v>
      </c>
      <c r="H59" s="26"/>
      <c r="I59" s="22" t="e">
        <v>#N/A</v>
      </c>
      <c r="J59" s="22" t="e" cm="1">
        <f t="array" ref="J59">INDEX(_xll.DUCKDB.EXEC($H$2,B59:C59),2)</f>
        <v>#N/A</v>
      </c>
      <c r="K59" s="25" t="str">
        <f t="shared" si="1"/>
        <v>PASS</v>
      </c>
    </row>
    <row r="60" spans="1:11" x14ac:dyDescent="0.25">
      <c r="A60" s="25">
        <v>59</v>
      </c>
      <c r="B60" s="22" t="s">
        <v>163</v>
      </c>
      <c r="C60" s="22" t="s">
        <v>139</v>
      </c>
      <c r="D60" s="26"/>
      <c r="E60" s="25" t="s">
        <v>8</v>
      </c>
      <c r="F60" s="25" t="str" cm="1">
        <f t="array" ref="F60">INDEX(_xll.DUCKDB.EXEC($D$2,B60:C60),2)</f>
        <v>VARCHAR</v>
      </c>
      <c r="G60" s="25" t="str">
        <f t="shared" si="31"/>
        <v>PASS</v>
      </c>
      <c r="H60" s="26"/>
      <c r="I60" s="22" t="e">
        <v>#N/A</v>
      </c>
      <c r="J60" s="22" t="e" cm="1">
        <f t="array" ref="J60">INDEX(_xll.DUCKDB.EXEC($H$2,B60:C60),2)</f>
        <v>#N/A</v>
      </c>
      <c r="K60" s="25" t="str">
        <f t="shared" si="1"/>
        <v>PASS</v>
      </c>
    </row>
    <row r="61" spans="1:11" x14ac:dyDescent="0.25">
      <c r="A61" s="25">
        <v>60</v>
      </c>
      <c r="B61" s="22" t="s">
        <v>164</v>
      </c>
      <c r="C61" s="22" t="s">
        <v>140</v>
      </c>
      <c r="D61" s="26"/>
      <c r="E61" s="25" t="s">
        <v>8</v>
      </c>
      <c r="F61" s="25" t="str" cm="1">
        <f t="array" ref="F61">INDEX(_xll.DUCKDB.EXEC($D$2,B61:C61),2)</f>
        <v>VARCHAR</v>
      </c>
      <c r="G61" s="25" t="str">
        <f t="shared" si="31"/>
        <v>PASS</v>
      </c>
      <c r="H61" s="26"/>
      <c r="I61" s="22" t="e">
        <v>#N/A</v>
      </c>
      <c r="J61" s="22" t="e" cm="1">
        <f t="array" ref="J61">INDEX(_xll.DUCKDB.EXEC($H$2,B61:C61),2)</f>
        <v>#N/A</v>
      </c>
      <c r="K61" s="25" t="str">
        <f t="shared" si="1"/>
        <v>PASS</v>
      </c>
    </row>
    <row r="62" spans="1:11" x14ac:dyDescent="0.25">
      <c r="A62" s="25">
        <v>61</v>
      </c>
      <c r="B62" s="22" t="s">
        <v>164</v>
      </c>
      <c r="C62" s="22" t="s">
        <v>141</v>
      </c>
      <c r="D62" s="26"/>
      <c r="E62" s="25" t="s">
        <v>8</v>
      </c>
      <c r="F62" s="25" t="str" cm="1">
        <f t="array" ref="F62">INDEX(_xll.DUCKDB.EXEC($D$2,B62:C62),2)</f>
        <v>VARCHAR</v>
      </c>
      <c r="G62" s="25" t="str">
        <f t="shared" si="31"/>
        <v>PASS</v>
      </c>
      <c r="H62" s="26"/>
      <c r="I62" s="22" t="e">
        <v>#N/A</v>
      </c>
      <c r="J62" s="22" t="e" cm="1">
        <f t="array" ref="J62">INDEX(_xll.DUCKDB.EXEC($H$2,B62:C62),2)</f>
        <v>#N/A</v>
      </c>
      <c r="K62" s="25" t="str">
        <f t="shared" si="1"/>
        <v>PASS</v>
      </c>
    </row>
    <row r="63" spans="1:11" x14ac:dyDescent="0.25">
      <c r="A63" s="25">
        <v>62</v>
      </c>
      <c r="B63" s="22" t="s">
        <v>164</v>
      </c>
      <c r="C63" s="22" t="s">
        <v>142</v>
      </c>
      <c r="D63" s="26"/>
      <c r="E63" s="25" t="s">
        <v>8</v>
      </c>
      <c r="F63" s="25" t="str" cm="1">
        <f t="array" ref="F63">INDEX(_xll.DUCKDB.EXEC($D$2,B63:C63),2)</f>
        <v>VARCHAR</v>
      </c>
      <c r="G63" s="25" t="str">
        <f t="shared" si="31"/>
        <v>PASS</v>
      </c>
      <c r="H63" s="26"/>
      <c r="I63" s="22" t="e">
        <v>#N/A</v>
      </c>
      <c r="J63" s="22" t="e" cm="1">
        <f t="array" ref="J63">INDEX(_xll.DUCKDB.EXEC($H$2,B63:C63),2)</f>
        <v>#N/A</v>
      </c>
      <c r="K63" s="25" t="str">
        <f t="shared" si="1"/>
        <v>PASS</v>
      </c>
    </row>
    <row r="64" spans="1:11" x14ac:dyDescent="0.25">
      <c r="A64" s="25">
        <v>63</v>
      </c>
      <c r="B64" s="22" t="s">
        <v>164</v>
      </c>
      <c r="C64" s="22" t="s">
        <v>143</v>
      </c>
      <c r="D64" s="26"/>
      <c r="E64" s="25" t="s">
        <v>8</v>
      </c>
      <c r="F64" s="25" t="str" cm="1">
        <f t="array" ref="F64">INDEX(_xll.DUCKDB.EXEC($D$2,B64:C64),2)</f>
        <v>VARCHAR</v>
      </c>
      <c r="G64" s="25" t="str">
        <f t="shared" si="31"/>
        <v>PASS</v>
      </c>
      <c r="H64" s="26"/>
      <c r="I64" s="22" t="e">
        <v>#N/A</v>
      </c>
      <c r="J64" s="22" t="e" cm="1">
        <f t="array" ref="J64">INDEX(_xll.DUCKDB.EXEC($H$2,B64:C64),2)</f>
        <v>#N/A</v>
      </c>
      <c r="K64" s="25" t="str">
        <f t="shared" si="1"/>
        <v>PASS</v>
      </c>
    </row>
    <row r="65" spans="1:11" x14ac:dyDescent="0.25">
      <c r="A65" s="25">
        <v>64</v>
      </c>
      <c r="B65" s="22" t="s">
        <v>165</v>
      </c>
      <c r="C65" s="22" t="e">
        <v>#N/A</v>
      </c>
      <c r="D65" s="26"/>
      <c r="E65" s="25" t="s">
        <v>8</v>
      </c>
      <c r="F65" s="25" t="str" cm="1">
        <f t="array" ref="F65">INDEX(_xll.DUCKDB.EXEC($D$2,B65:C65),2)</f>
        <v>VARCHAR</v>
      </c>
      <c r="G65" s="25" t="str">
        <f t="shared" ref="G65:G68" si="32">IF(E65=F65,"PASS","FAIL")</f>
        <v>PASS</v>
      </c>
      <c r="H65" s="26"/>
      <c r="I65" s="22" t="e">
        <v>#N/A</v>
      </c>
      <c r="J65" s="22" t="e" cm="1">
        <f t="array" ref="J65">INDEX(_xll.DUCKDB.EXEC($H$2,B65:C65),2)</f>
        <v>#N/A</v>
      </c>
      <c r="K65" s="25" t="str">
        <f t="shared" si="1"/>
        <v>PASS</v>
      </c>
    </row>
    <row r="66" spans="1:11" x14ac:dyDescent="0.25">
      <c r="A66" s="25">
        <v>65</v>
      </c>
      <c r="B66" s="22" t="s">
        <v>165</v>
      </c>
      <c r="C66" s="22" t="e">
        <v>#NUM!</v>
      </c>
      <c r="D66" s="26"/>
      <c r="E66" s="25" t="s">
        <v>8</v>
      </c>
      <c r="F66" s="25" t="str" cm="1">
        <f t="array" ref="F66">INDEX(_xll.DUCKDB.EXEC($D$2,B66:C66),2)</f>
        <v>VARCHAR</v>
      </c>
      <c r="G66" s="25" t="str">
        <f t="shared" si="32"/>
        <v>PASS</v>
      </c>
      <c r="H66" s="26"/>
      <c r="I66" s="22" t="e">
        <v>#N/A</v>
      </c>
      <c r="J66" s="22" t="e" cm="1">
        <f t="array" ref="J66">INDEX(_xll.DUCKDB.EXEC($H$2,B66:C66),2)</f>
        <v>#N/A</v>
      </c>
      <c r="K66" s="25" t="str">
        <f t="shared" si="1"/>
        <v>PASS</v>
      </c>
    </row>
    <row r="67" spans="1:11" x14ac:dyDescent="0.25">
      <c r="A67" s="25">
        <v>66</v>
      </c>
      <c r="B67" s="22" t="s">
        <v>165</v>
      </c>
      <c r="C67" s="22" t="e">
        <v>#REF!</v>
      </c>
      <c r="D67" s="26"/>
      <c r="E67" s="25" t="s">
        <v>8</v>
      </c>
      <c r="F67" s="25" t="str" cm="1">
        <f t="array" ref="F67">INDEX(_xll.DUCKDB.EXEC($D$2,B67:C67),2)</f>
        <v>VARCHAR</v>
      </c>
      <c r="G67" s="25" t="str">
        <f t="shared" si="32"/>
        <v>PASS</v>
      </c>
      <c r="H67" s="26"/>
      <c r="I67" s="22" t="e">
        <v>#N/A</v>
      </c>
      <c r="J67" s="22" t="e" cm="1">
        <f t="array" ref="J67">INDEX(_xll.DUCKDB.EXEC($H$2,B67:C67),2)</f>
        <v>#N/A</v>
      </c>
      <c r="K67" s="25" t="str">
        <f t="shared" si="1"/>
        <v>PASS</v>
      </c>
    </row>
    <row r="68" spans="1:11" x14ac:dyDescent="0.25">
      <c r="A68" s="25">
        <v>67</v>
      </c>
      <c r="B68" s="22" t="s">
        <v>165</v>
      </c>
      <c r="C68" s="22" t="e">
        <v>#DIV/0!</v>
      </c>
      <c r="D68" s="26"/>
      <c r="E68" s="25" t="s">
        <v>8</v>
      </c>
      <c r="F68" s="25" t="str" cm="1">
        <f t="array" ref="F68">INDEX(_xll.DUCKDB.EXEC($D$2,B68:C68),2)</f>
        <v>VARCHAR</v>
      </c>
      <c r="G68" s="25" t="str">
        <f t="shared" si="32"/>
        <v>PASS</v>
      </c>
      <c r="H68" s="26"/>
      <c r="I68" s="22" t="e">
        <v>#N/A</v>
      </c>
      <c r="J68" s="22" t="e" cm="1">
        <f t="array" ref="J68">INDEX(_xll.DUCKDB.EXEC($H$2,B68:C68),2)</f>
        <v>#N/A</v>
      </c>
      <c r="K68" s="25" t="str">
        <f t="shared" si="1"/>
        <v>PASS</v>
      </c>
    </row>
    <row r="69" spans="1:11" x14ac:dyDescent="0.25">
      <c r="A69" s="25">
        <v>68</v>
      </c>
      <c r="B69" s="22" t="s">
        <v>166</v>
      </c>
      <c r="C69" s="22" t="s">
        <v>49</v>
      </c>
      <c r="D69" s="26"/>
      <c r="E69" s="25" t="s">
        <v>8</v>
      </c>
      <c r="F69" s="25" t="str" cm="1">
        <f t="array" ref="F69">INDEX(_xll.DUCKDB.EXEC($D$2,B69:C69),2)</f>
        <v>VARCHAR</v>
      </c>
      <c r="G69" s="25" t="str">
        <f t="shared" ref="G69:G71" si="33">IF(E69=F69,"PASS","FAIL")</f>
        <v>PASS</v>
      </c>
      <c r="H69" s="26"/>
      <c r="I69" s="22" t="str">
        <f>C69</f>
        <v>abc</v>
      </c>
      <c r="J69" s="22" t="str" cm="1">
        <f t="array" ref="J69">INDEX(_xll.DUCKDB.EXEC($H$2,B69:C69),2)</f>
        <v>abc</v>
      </c>
      <c r="K69" s="25" t="str">
        <f t="shared" si="1"/>
        <v>PASS</v>
      </c>
    </row>
    <row r="70" spans="1:11" x14ac:dyDescent="0.25">
      <c r="A70" s="25">
        <v>69</v>
      </c>
      <c r="B70" s="22" t="s">
        <v>170</v>
      </c>
      <c r="C70" s="22" t="s">
        <v>171</v>
      </c>
      <c r="D70" s="26"/>
      <c r="E70" s="25" t="s">
        <v>8</v>
      </c>
      <c r="F70" s="25" t="str" cm="1">
        <f t="array" ref="F70">INDEX(_xll.DUCKDB.EXEC($D$2,B70:C70),2)</f>
        <v>VARCHAR</v>
      </c>
      <c r="G70" s="25" t="str">
        <f t="shared" ref="G70" si="34">IF(E70=F70,"PASS","FAIL")</f>
        <v>PASS</v>
      </c>
      <c r="H70" s="26"/>
      <c r="I70" s="22" t="e">
        <v>#N/A</v>
      </c>
      <c r="J70" s="22" t="e" cm="1">
        <f t="array" ref="J70">INDEX(_xll.DUCKDB.EXEC($H$2,B70:C70),2)</f>
        <v>#N/A</v>
      </c>
      <c r="K70" s="25" t="str">
        <f t="shared" ref="K70" si="35">IF(ISNA(I70),IF(ISNA(J70),"PASS","FAIL"),IFERROR(IF(I70=J70,"PASS","FAIL"),"FAIL"))</f>
        <v>PASS</v>
      </c>
    </row>
    <row r="71" spans="1:11" x14ac:dyDescent="0.25">
      <c r="A71" s="25">
        <v>70</v>
      </c>
      <c r="B71" s="22" t="s">
        <v>167</v>
      </c>
      <c r="C71" s="22" t="s">
        <v>144</v>
      </c>
      <c r="D71" s="26"/>
      <c r="E71" s="25" t="s">
        <v>8</v>
      </c>
      <c r="F71" s="25" t="str" cm="1">
        <f t="array" ref="F71">INDEX(_xll.DUCKDB.EXEC($D$2,B71:C71),2)</f>
        <v>VARCHAR</v>
      </c>
      <c r="G71" s="25" t="str">
        <f t="shared" si="33"/>
        <v>PASS</v>
      </c>
      <c r="H71" s="26"/>
      <c r="I71" s="22" t="str">
        <f>C71</f>
        <v xml:space="preserve">    abc    </v>
      </c>
      <c r="J71" s="22" t="str" cm="1">
        <f t="array" ref="J71">INDEX(_xll.DUCKDB.EXEC($H$2,B71:C71),2)</f>
        <v xml:space="preserve">    abc    </v>
      </c>
      <c r="K71" s="25" t="str">
        <f t="shared" si="1"/>
        <v>PASS</v>
      </c>
    </row>
    <row r="72" spans="1:11" x14ac:dyDescent="0.25">
      <c r="A72" s="25">
        <v>71</v>
      </c>
      <c r="B72" s="22" t="s">
        <v>166</v>
      </c>
      <c r="C72" s="22" t="s">
        <v>177</v>
      </c>
      <c r="D72" s="26"/>
      <c r="E72" s="25" t="s">
        <v>8</v>
      </c>
      <c r="F72" s="25" t="str" cm="1">
        <f t="array" ref="F72">INDEX(_xll.DUCKDB.EXEC($D$2,B72:C72),2)</f>
        <v>VARCHAR</v>
      </c>
      <c r="G72" s="25" t="str">
        <f t="shared" ref="G72:G76" si="36">IF(E72=F72,"PASS","FAIL")</f>
        <v>PASS</v>
      </c>
      <c r="H72" s="26"/>
      <c r="I72" s="22" t="str">
        <f t="shared" ref="I72:I76" si="37">C72</f>
        <v>NA</v>
      </c>
      <c r="J72" s="22" t="str" cm="1">
        <f t="array" ref="J72">INDEX(_xll.DUCKDB.EXEC($H$2,B72:C72),2)</f>
        <v>NA</v>
      </c>
      <c r="K72" s="25" t="str">
        <f t="shared" ref="K72:K76" si="38">IF(ISNA(I72),IF(ISNA(J72),"PASS","FAIL"),IFERROR(IF(I72=J72,"PASS","FAIL"),"FAIL"))</f>
        <v>PASS</v>
      </c>
    </row>
    <row r="73" spans="1:11" x14ac:dyDescent="0.25">
      <c r="A73" s="25">
        <v>72</v>
      </c>
      <c r="B73" s="22" t="s">
        <v>166</v>
      </c>
      <c r="C73" s="22" t="s">
        <v>178</v>
      </c>
      <c r="D73" s="26"/>
      <c r="E73" s="25" t="s">
        <v>8</v>
      </c>
      <c r="F73" s="25" t="str" cm="1">
        <f t="array" ref="F73">INDEX(_xll.DUCKDB.EXEC($D$2,B73:C73),2)</f>
        <v>VARCHAR</v>
      </c>
      <c r="G73" s="25" t="str">
        <f t="shared" si="36"/>
        <v>PASS</v>
      </c>
      <c r="H73" s="26"/>
      <c r="I73" s="22" t="str">
        <f t="shared" si="37"/>
        <v>NONE</v>
      </c>
      <c r="J73" s="22" t="str" cm="1">
        <f t="array" ref="J73">INDEX(_xll.DUCKDB.EXEC($H$2,B73:C73),2)</f>
        <v>NONE</v>
      </c>
      <c r="K73" s="25" t="str">
        <f t="shared" si="38"/>
        <v>PASS</v>
      </c>
    </row>
    <row r="74" spans="1:11" x14ac:dyDescent="0.25">
      <c r="A74" s="25">
        <v>73</v>
      </c>
      <c r="B74" s="22" t="s">
        <v>166</v>
      </c>
      <c r="C74" s="22" t="s">
        <v>179</v>
      </c>
      <c r="D74" s="26"/>
      <c r="E74" s="25" t="s">
        <v>8</v>
      </c>
      <c r="F74" s="25" t="str" cm="1">
        <f t="array" ref="F74">INDEX(_xll.DUCKDB.EXEC($D$2,B74:C74),2)</f>
        <v>VARCHAR</v>
      </c>
      <c r="G74" s="25" t="str">
        <f t="shared" si="36"/>
        <v>PASS</v>
      </c>
      <c r="H74" s="26"/>
      <c r="I74" s="22" t="str">
        <f t="shared" si="37"/>
        <v>NIL</v>
      </c>
      <c r="J74" s="22" t="str" cm="1">
        <f t="array" ref="J74">INDEX(_xll.DUCKDB.EXEC($H$2,B74:C74),2)</f>
        <v>NIL</v>
      </c>
      <c r="K74" s="25" t="str">
        <f t="shared" si="38"/>
        <v>PASS</v>
      </c>
    </row>
    <row r="75" spans="1:11" x14ac:dyDescent="0.25">
      <c r="A75" s="25">
        <v>74</v>
      </c>
      <c r="B75" s="22" t="s">
        <v>166</v>
      </c>
      <c r="C75" s="22" t="s">
        <v>180</v>
      </c>
      <c r="D75" s="26"/>
      <c r="E75" s="25" t="s">
        <v>8</v>
      </c>
      <c r="F75" s="25" t="str" cm="1">
        <f t="array" ref="F75">INDEX(_xll.DUCKDB.EXEC($D$2,B75:C75),2)</f>
        <v>VARCHAR</v>
      </c>
      <c r="G75" s="25" t="str">
        <f t="shared" si="36"/>
        <v>PASS</v>
      </c>
      <c r="H75" s="26"/>
      <c r="I75" s="22" t="str">
        <f t="shared" si="37"/>
        <v>INF</v>
      </c>
      <c r="J75" s="22" t="str" cm="1">
        <f t="array" ref="J75">INDEX(_xll.DUCKDB.EXEC($H$2,B75:C75),2)</f>
        <v>INF</v>
      </c>
      <c r="K75" s="25" t="str">
        <f t="shared" si="38"/>
        <v>PASS</v>
      </c>
    </row>
    <row r="76" spans="1:11" x14ac:dyDescent="0.25">
      <c r="A76" s="25">
        <v>75</v>
      </c>
      <c r="B76" s="22" t="s">
        <v>166</v>
      </c>
      <c r="C76" s="22" t="s">
        <v>181</v>
      </c>
      <c r="D76" s="26"/>
      <c r="E76" s="25" t="s">
        <v>8</v>
      </c>
      <c r="F76" s="25" t="str" cm="1">
        <f t="array" ref="F76">INDEX(_xll.DUCKDB.EXEC($D$2,B76:C76),2)</f>
        <v>VARCHAR</v>
      </c>
      <c r="G76" s="25" t="str">
        <f t="shared" si="36"/>
        <v>PASS</v>
      </c>
      <c r="H76" s="26"/>
      <c r="I76" s="22" t="str">
        <f t="shared" si="37"/>
        <v>NaN</v>
      </c>
      <c r="J76" s="22" t="str" cm="1">
        <f t="array" ref="J76">INDEX(_xll.DUCKDB.EXEC($H$2,B76:C76),2)</f>
        <v>NaN</v>
      </c>
      <c r="K76" s="25" t="str">
        <f t="shared" si="38"/>
        <v>PASS</v>
      </c>
    </row>
  </sheetData>
  <mergeCells count="2">
    <mergeCell ref="D2:D76"/>
    <mergeCell ref="H2:H76"/>
  </mergeCells>
  <conditionalFormatting sqref="G2:G76 K2:K76">
    <cfRule type="cellIs" dxfId="1" priority="1" stopIfTrue="1" operator="equal">
      <formula>"PASS"</formula>
    </cfRule>
    <cfRule type="cellIs" dxfId="0" priority="2" stopIfTrue="1" operator="equal">
      <formula>"FAIL"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A1C93-13C0-441A-AD81-7C8033CD328B}">
  <dimension ref="A1:E25"/>
  <sheetViews>
    <sheetView tabSelected="1" workbookViewId="0">
      <selection activeCell="B27" sqref="B27"/>
    </sheetView>
  </sheetViews>
  <sheetFormatPr defaultRowHeight="15" x14ac:dyDescent="0.25"/>
  <cols>
    <col min="1" max="1" width="15.42578125" customWidth="1"/>
    <col min="2" max="2" width="16.7109375" customWidth="1"/>
    <col min="3" max="3" width="19.140625" customWidth="1"/>
    <col min="4" max="4" width="36" customWidth="1"/>
    <col min="5" max="5" width="16.140625" customWidth="1"/>
  </cols>
  <sheetData>
    <row r="1" spans="1:5" x14ac:dyDescent="0.25">
      <c r="A1" s="21" t="s">
        <v>173</v>
      </c>
      <c r="B1" s="21" t="s">
        <v>174</v>
      </c>
      <c r="C1" s="21" t="s">
        <v>175</v>
      </c>
      <c r="D1" s="21" t="s">
        <v>195</v>
      </c>
      <c r="E1" s="21" t="s">
        <v>216</v>
      </c>
    </row>
    <row r="2" spans="1:5" x14ac:dyDescent="0.25">
      <c r="A2" s="23" t="s">
        <v>153</v>
      </c>
      <c r="B2" s="22"/>
      <c r="C2" s="24">
        <v>2</v>
      </c>
      <c r="D2" s="22" t="s">
        <v>176</v>
      </c>
      <c r="E2" s="24" t="str" cm="1">
        <f t="array" ref="E2">INDEX(_xll.DUCKDB.EXEC($D$2,B2:B3,C2),2)</f>
        <v>INTEGER</v>
      </c>
    </row>
    <row r="3" spans="1:5" x14ac:dyDescent="0.25">
      <c r="A3" s="23"/>
      <c r="B3" s="22">
        <v>1</v>
      </c>
      <c r="C3" s="24"/>
      <c r="D3" s="22"/>
      <c r="E3" s="24"/>
    </row>
    <row r="4" spans="1:5" x14ac:dyDescent="0.25">
      <c r="A4" s="23" t="s">
        <v>153</v>
      </c>
      <c r="B4" s="22">
        <v>1</v>
      </c>
      <c r="C4" s="24">
        <v>2</v>
      </c>
      <c r="D4" s="22"/>
      <c r="E4" s="24" t="str" cm="1">
        <f t="array" ref="E4">INDEX(_xll.DUCKDB.EXEC($D$2,B4:B5,C4),2)</f>
        <v>INTEGER</v>
      </c>
    </row>
    <row r="5" spans="1:5" x14ac:dyDescent="0.25">
      <c r="A5" s="23"/>
      <c r="B5" s="22">
        <v>2</v>
      </c>
      <c r="C5" s="24"/>
      <c r="D5" s="22"/>
      <c r="E5" s="24"/>
    </row>
    <row r="6" spans="1:5" x14ac:dyDescent="0.25">
      <c r="A6" s="23" t="s">
        <v>153</v>
      </c>
      <c r="B6" s="22">
        <v>1</v>
      </c>
      <c r="C6" s="24">
        <v>2</v>
      </c>
      <c r="D6" s="22"/>
      <c r="E6" s="24" t="str" cm="1">
        <f t="array" ref="E6">INDEX(_xll.DUCKDB.EXEC($D$2,B6:B7,C6),2)</f>
        <v>INTEGER</v>
      </c>
    </row>
    <row r="7" spans="1:5" x14ac:dyDescent="0.25">
      <c r="A7" s="23"/>
      <c r="B7" s="22"/>
      <c r="C7" s="24"/>
      <c r="D7" s="22"/>
      <c r="E7" s="24"/>
    </row>
    <row r="8" spans="1:5" x14ac:dyDescent="0.25">
      <c r="A8" s="23" t="s">
        <v>156</v>
      </c>
      <c r="B8" s="22"/>
      <c r="C8" s="24">
        <v>2</v>
      </c>
      <c r="D8" s="22"/>
      <c r="E8" s="24" t="str" cm="1">
        <f t="array" ref="E8">INDEX(_xll.DUCKDB.EXEC($D$2,B8:B9,C8),2)</f>
        <v>DOUBLE</v>
      </c>
    </row>
    <row r="9" spans="1:5" x14ac:dyDescent="0.25">
      <c r="A9" s="23"/>
      <c r="B9" s="22">
        <v>1.2</v>
      </c>
      <c r="C9" s="24"/>
      <c r="D9" s="22"/>
      <c r="E9" s="24"/>
    </row>
    <row r="10" spans="1:5" x14ac:dyDescent="0.25">
      <c r="A10" s="23" t="s">
        <v>156</v>
      </c>
      <c r="B10" s="22">
        <v>1.2</v>
      </c>
      <c r="C10" s="24">
        <v>2</v>
      </c>
      <c r="D10" s="22"/>
      <c r="E10" s="24" t="str" cm="1">
        <f t="array" ref="E10">INDEX(_xll.DUCKDB.EXEC($D$2,B10:B11,C10),2)</f>
        <v>DOUBLE</v>
      </c>
    </row>
    <row r="11" spans="1:5" x14ac:dyDescent="0.25">
      <c r="A11" s="23"/>
      <c r="B11" s="22">
        <v>1.3</v>
      </c>
      <c r="C11" s="24"/>
      <c r="D11" s="22"/>
      <c r="E11" s="24"/>
    </row>
    <row r="12" spans="1:5" x14ac:dyDescent="0.25">
      <c r="A12" s="23" t="s">
        <v>156</v>
      </c>
      <c r="B12" s="22">
        <v>1.2</v>
      </c>
      <c r="C12" s="24">
        <v>2</v>
      </c>
      <c r="D12" s="22"/>
      <c r="E12" s="24" t="str" cm="1">
        <f t="array" ref="E12">INDEX(_xll.DUCKDB.EXEC($D$2,B12:B13,C12),2)</f>
        <v>DOUBLE</v>
      </c>
    </row>
    <row r="13" spans="1:5" x14ac:dyDescent="0.25">
      <c r="A13" s="23"/>
      <c r="B13" s="22"/>
      <c r="C13" s="24"/>
      <c r="D13" s="22"/>
      <c r="E13" s="24"/>
    </row>
    <row r="14" spans="1:5" x14ac:dyDescent="0.25">
      <c r="A14" s="23" t="s">
        <v>217</v>
      </c>
      <c r="B14" s="22"/>
      <c r="C14" s="24">
        <v>2</v>
      </c>
      <c r="D14" s="22"/>
      <c r="E14" s="24" t="str" cm="1">
        <f t="array" ref="E14">INDEX(_xll.DUCKDB.EXEC($D$2,B14:B15,C14),2)</f>
        <v>BOOLEAN</v>
      </c>
    </row>
    <row r="15" spans="1:5" x14ac:dyDescent="0.25">
      <c r="A15" s="23"/>
      <c r="B15" s="22" t="b">
        <v>1</v>
      </c>
      <c r="C15" s="24"/>
      <c r="D15" s="22"/>
      <c r="E15" s="24"/>
    </row>
    <row r="16" spans="1:5" x14ac:dyDescent="0.25">
      <c r="A16" s="23" t="s">
        <v>217</v>
      </c>
      <c r="B16" s="22" t="b">
        <v>1</v>
      </c>
      <c r="C16" s="24">
        <v>2</v>
      </c>
      <c r="D16" s="22"/>
      <c r="E16" s="24" t="str" cm="1">
        <f t="array" ref="E16">INDEX(_xll.DUCKDB.EXEC($D$2,B16:B17,C16),2)</f>
        <v>BOOLEAN</v>
      </c>
    </row>
    <row r="17" spans="1:5" x14ac:dyDescent="0.25">
      <c r="A17" s="23"/>
      <c r="B17" s="22" t="b">
        <v>0</v>
      </c>
      <c r="C17" s="24"/>
      <c r="D17" s="22"/>
      <c r="E17" s="24"/>
    </row>
    <row r="18" spans="1:5" x14ac:dyDescent="0.25">
      <c r="A18" s="23" t="s">
        <v>217</v>
      </c>
      <c r="B18" s="22" t="b">
        <v>1</v>
      </c>
      <c r="C18" s="24">
        <v>2</v>
      </c>
      <c r="D18" s="22"/>
      <c r="E18" s="24" t="str" cm="1">
        <f t="array" ref="E18">INDEX(_xll.DUCKDB.EXEC($D$2,B18:B19,C18),2)</f>
        <v>BOOLEAN</v>
      </c>
    </row>
    <row r="19" spans="1:5" x14ac:dyDescent="0.25">
      <c r="A19" s="23"/>
      <c r="B19" s="22"/>
      <c r="C19" s="24"/>
      <c r="D19" s="22"/>
      <c r="E19" s="24"/>
    </row>
    <row r="20" spans="1:5" x14ac:dyDescent="0.25">
      <c r="A20" s="23" t="s">
        <v>218</v>
      </c>
      <c r="B20" s="22"/>
      <c r="C20" s="24">
        <v>2</v>
      </c>
      <c r="D20" s="22"/>
      <c r="E20" s="24" t="str" cm="1">
        <f t="array" ref="E20">INDEX(_xll.DUCKDB.EXEC($D$2,B20:B21,C20),2)</f>
        <v>VARCHAR</v>
      </c>
    </row>
    <row r="21" spans="1:5" x14ac:dyDescent="0.25">
      <c r="A21" s="23"/>
      <c r="B21" s="22" t="s">
        <v>49</v>
      </c>
      <c r="C21" s="24"/>
      <c r="D21" s="22"/>
      <c r="E21" s="24"/>
    </row>
    <row r="22" spans="1:5" x14ac:dyDescent="0.25">
      <c r="A22" s="23" t="s">
        <v>218</v>
      </c>
      <c r="B22" s="22" t="s">
        <v>49</v>
      </c>
      <c r="C22" s="24">
        <v>2</v>
      </c>
      <c r="D22" s="22"/>
      <c r="E22" s="24" t="str" cm="1">
        <f t="array" ref="E22">INDEX(_xll.DUCKDB.EXEC($D$2,B22:B23,C22),2)</f>
        <v>VARCHAR</v>
      </c>
    </row>
    <row r="23" spans="1:5" x14ac:dyDescent="0.25">
      <c r="A23" s="23"/>
      <c r="B23" s="22" t="s">
        <v>219</v>
      </c>
      <c r="C23" s="24"/>
      <c r="D23" s="22"/>
      <c r="E23" s="24"/>
    </row>
    <row r="24" spans="1:5" x14ac:dyDescent="0.25">
      <c r="A24" s="23" t="s">
        <v>218</v>
      </c>
      <c r="B24" s="22" t="s">
        <v>49</v>
      </c>
      <c r="C24" s="24">
        <v>2</v>
      </c>
      <c r="D24" s="22"/>
      <c r="E24" s="24" t="str" cm="1">
        <f t="array" ref="E24">INDEX(_xll.DUCKDB.EXEC($D$2,B24:B25,C24),2)</f>
        <v>VARCHAR</v>
      </c>
    </row>
    <row r="25" spans="1:5" x14ac:dyDescent="0.25">
      <c r="A25" s="23"/>
      <c r="B25" s="22"/>
      <c r="C25" s="24"/>
      <c r="D25" s="22"/>
      <c r="E25" s="24"/>
    </row>
  </sheetData>
  <mergeCells count="36">
    <mergeCell ref="A10:A11"/>
    <mergeCell ref="A12:A13"/>
    <mergeCell ref="A14:A15"/>
    <mergeCell ref="A16:A17"/>
    <mergeCell ref="E16:E17"/>
    <mergeCell ref="E18:E19"/>
    <mergeCell ref="E20:E21"/>
    <mergeCell ref="E22:E23"/>
    <mergeCell ref="E24:E25"/>
    <mergeCell ref="E6:E7"/>
    <mergeCell ref="E8:E9"/>
    <mergeCell ref="E10:E11"/>
    <mergeCell ref="E12:E13"/>
    <mergeCell ref="E14:E15"/>
    <mergeCell ref="E4:E5"/>
    <mergeCell ref="C16:C17"/>
    <mergeCell ref="C18:C19"/>
    <mergeCell ref="C20:C21"/>
    <mergeCell ref="C22:C23"/>
    <mergeCell ref="C24:C25"/>
    <mergeCell ref="E2:E3"/>
    <mergeCell ref="C6:C7"/>
    <mergeCell ref="C8:C9"/>
    <mergeCell ref="C10:C11"/>
    <mergeCell ref="C12:C13"/>
    <mergeCell ref="C14:C15"/>
    <mergeCell ref="C4:C5"/>
    <mergeCell ref="A18:A19"/>
    <mergeCell ref="A20:A21"/>
    <mergeCell ref="A22:A23"/>
    <mergeCell ref="A24:A25"/>
    <mergeCell ref="A8:A9"/>
    <mergeCell ref="C2:C3"/>
    <mergeCell ref="A6:A7"/>
    <mergeCell ref="A4:A5"/>
    <mergeCell ref="A2:A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A3194-2367-4BAA-BC32-C926CD8293A5}">
  <dimension ref="A1:G106"/>
  <sheetViews>
    <sheetView workbookViewId="0">
      <selection activeCell="B103" sqref="B103"/>
    </sheetView>
  </sheetViews>
  <sheetFormatPr defaultRowHeight="15" x14ac:dyDescent="0.25"/>
  <cols>
    <col min="1" max="1" width="48.7109375" bestFit="1" customWidth="1"/>
    <col min="2" max="2" width="13.7109375" customWidth="1"/>
    <col min="3" max="3" width="14.5703125" customWidth="1"/>
    <col min="4" max="4" width="20.28515625" customWidth="1"/>
    <col min="5" max="5" width="14.7109375" customWidth="1"/>
    <col min="6" max="6" width="18.140625" customWidth="1"/>
  </cols>
  <sheetData>
    <row r="1" spans="1:7" x14ac:dyDescent="0.25">
      <c r="A1" t="s">
        <v>83</v>
      </c>
      <c r="B1" t="s">
        <v>65</v>
      </c>
      <c r="C1" t="s">
        <v>66</v>
      </c>
      <c r="D1" t="s">
        <v>48</v>
      </c>
      <c r="E1" t="s">
        <v>50</v>
      </c>
      <c r="F1" t="s">
        <v>51</v>
      </c>
    </row>
    <row r="2" spans="1:7" x14ac:dyDescent="0.25">
      <c r="B2">
        <v>1</v>
      </c>
      <c r="C2">
        <v>1.2</v>
      </c>
      <c r="D2" t="s">
        <v>49</v>
      </c>
      <c r="F2" t="e">
        <f>1/0</f>
        <v>#DIV/0!</v>
      </c>
    </row>
    <row r="3" spans="1:7" x14ac:dyDescent="0.25">
      <c r="B3">
        <v>1.2</v>
      </c>
      <c r="C3">
        <v>1</v>
      </c>
      <c r="D3">
        <v>1.2</v>
      </c>
    </row>
    <row r="4" spans="1:7" x14ac:dyDescent="0.25">
      <c r="B4">
        <v>1.3</v>
      </c>
      <c r="C4" t="s">
        <v>49</v>
      </c>
      <c r="D4">
        <v>1</v>
      </c>
    </row>
    <row r="6" spans="1:7" x14ac:dyDescent="0.25">
      <c r="A6" t="s">
        <v>55</v>
      </c>
      <c r="B6" s="5" t="s">
        <v>52</v>
      </c>
    </row>
    <row r="7" spans="1:7" x14ac:dyDescent="0.25">
      <c r="B7" t="str" cm="1">
        <f t="array" ref="B7:F8">_xll.DUCKDB.EXEC(B6,$B$1:$F$2)</f>
        <v>NUMBER_1</v>
      </c>
      <c r="C7" t="str">
        <v>NUMBER_2</v>
      </c>
      <c r="D7" t="str">
        <v>STRING_COL</v>
      </c>
      <c r="E7" t="str">
        <v>EMPTY_COL</v>
      </c>
      <c r="F7" t="str">
        <v>ERROR_COL</v>
      </c>
    </row>
    <row r="8" spans="1:7" x14ac:dyDescent="0.25">
      <c r="B8">
        <v>1</v>
      </c>
      <c r="C8">
        <v>1.2</v>
      </c>
      <c r="D8" t="str">
        <v>abc</v>
      </c>
      <c r="E8" t="e">
        <v>#N/A</v>
      </c>
      <c r="F8" t="e">
        <v>#N/A</v>
      </c>
    </row>
    <row r="10" spans="1:7" x14ac:dyDescent="0.25">
      <c r="B10" s="5" t="s">
        <v>53</v>
      </c>
    </row>
    <row r="11" spans="1:7" x14ac:dyDescent="0.25">
      <c r="B11" t="str" cm="1">
        <f t="array" ref="B11:G16">_xll.DUCKDB.EXEC(B10,$B$1:$F$2)</f>
        <v>column_name</v>
      </c>
      <c r="C11" t="str">
        <v>column_type</v>
      </c>
      <c r="D11" t="str">
        <v>null</v>
      </c>
      <c r="E11" t="str">
        <v>key</v>
      </c>
      <c r="F11" t="str">
        <v>default</v>
      </c>
      <c r="G11" t="str">
        <v>extra</v>
      </c>
    </row>
    <row r="12" spans="1:7" x14ac:dyDescent="0.25">
      <c r="B12" t="str">
        <v>NUMBER_1</v>
      </c>
      <c r="C12" t="str">
        <v>INTEGER</v>
      </c>
      <c r="D12" t="str">
        <v>YES</v>
      </c>
      <c r="E12" t="e">
        <v>#N/A</v>
      </c>
      <c r="F12" t="e">
        <v>#N/A</v>
      </c>
      <c r="G12" t="e">
        <v>#N/A</v>
      </c>
    </row>
    <row r="13" spans="1:7" x14ac:dyDescent="0.25">
      <c r="B13" t="str">
        <v>NUMBER_2</v>
      </c>
      <c r="C13" t="str">
        <v>DOUBLE</v>
      </c>
      <c r="D13" t="str">
        <v>YES</v>
      </c>
      <c r="E13" t="e">
        <v>#N/A</v>
      </c>
      <c r="F13" t="e">
        <v>#N/A</v>
      </c>
      <c r="G13" t="e">
        <v>#N/A</v>
      </c>
    </row>
    <row r="14" spans="1:7" x14ac:dyDescent="0.25">
      <c r="B14" t="str">
        <v>STRING_COL</v>
      </c>
      <c r="C14" t="str">
        <v>VARCHAR</v>
      </c>
      <c r="D14" t="str">
        <v>YES</v>
      </c>
      <c r="E14" t="e">
        <v>#N/A</v>
      </c>
      <c r="F14" t="e">
        <v>#N/A</v>
      </c>
      <c r="G14" t="e">
        <v>#N/A</v>
      </c>
    </row>
    <row r="15" spans="1:7" x14ac:dyDescent="0.25">
      <c r="B15" t="str">
        <v>EMPTY_COL</v>
      </c>
      <c r="C15" t="str">
        <v>VARCHAR</v>
      </c>
      <c r="D15" t="str">
        <v>YES</v>
      </c>
      <c r="E15" t="e">
        <v>#N/A</v>
      </c>
      <c r="F15" t="e">
        <v>#N/A</v>
      </c>
      <c r="G15" t="e">
        <v>#N/A</v>
      </c>
    </row>
    <row r="16" spans="1:7" x14ac:dyDescent="0.25">
      <c r="B16" t="str">
        <v>ERROR_COL</v>
      </c>
      <c r="C16" t="str">
        <v>VARCHAR</v>
      </c>
      <c r="D16" t="str">
        <v>YES</v>
      </c>
      <c r="E16" t="e">
        <v>#N/A</v>
      </c>
      <c r="F16" t="e">
        <v>#N/A</v>
      </c>
      <c r="G16" t="e">
        <v>#N/A</v>
      </c>
    </row>
    <row r="18" spans="1:7" x14ac:dyDescent="0.25">
      <c r="A18" t="s">
        <v>56</v>
      </c>
      <c r="B18" s="5" t="s">
        <v>52</v>
      </c>
    </row>
    <row r="19" spans="1:7" x14ac:dyDescent="0.25">
      <c r="B19" t="str" cm="1">
        <f t="array" ref="B19:F21">_xll.DUCKDB.EXEC(B18,$B$1:$F$3)</f>
        <v>NUMBER_1</v>
      </c>
      <c r="C19" t="str">
        <v>NUMBER_2</v>
      </c>
      <c r="D19" t="str">
        <v>STRING_COL</v>
      </c>
      <c r="E19" t="str">
        <v>EMPTY_COL</v>
      </c>
      <c r="F19" t="str">
        <v>ERROR_COL</v>
      </c>
    </row>
    <row r="20" spans="1:7" x14ac:dyDescent="0.25">
      <c r="B20">
        <v>1</v>
      </c>
      <c r="C20">
        <v>1.2</v>
      </c>
      <c r="D20" t="str">
        <v>abc</v>
      </c>
      <c r="E20" t="e">
        <v>#N/A</v>
      </c>
      <c r="F20" t="e">
        <v>#N/A</v>
      </c>
    </row>
    <row r="21" spans="1:7" x14ac:dyDescent="0.25">
      <c r="B21">
        <v>1.2</v>
      </c>
      <c r="C21">
        <v>1</v>
      </c>
      <c r="D21" t="str">
        <v>1.2</v>
      </c>
      <c r="E21" t="e">
        <v>#N/A</v>
      </c>
      <c r="F21" t="e">
        <v>#N/A</v>
      </c>
    </row>
    <row r="23" spans="1:7" x14ac:dyDescent="0.25">
      <c r="B23" s="5" t="s">
        <v>53</v>
      </c>
    </row>
    <row r="24" spans="1:7" x14ac:dyDescent="0.25">
      <c r="B24" t="str" cm="1">
        <f t="array" ref="B24:G29">_xll.DUCKDB.EXEC(B23,$B$1:$F$3)</f>
        <v>column_name</v>
      </c>
      <c r="C24" t="str">
        <v>column_type</v>
      </c>
      <c r="D24" t="str">
        <v>null</v>
      </c>
      <c r="E24" t="str">
        <v>key</v>
      </c>
      <c r="F24" t="str">
        <v>default</v>
      </c>
      <c r="G24" t="str">
        <v>extra</v>
      </c>
    </row>
    <row r="25" spans="1:7" x14ac:dyDescent="0.25">
      <c r="A25" s="6" t="s">
        <v>57</v>
      </c>
      <c r="B25" t="str">
        <v>NUMBER_1</v>
      </c>
      <c r="C25" t="str">
        <v>DOUBLE</v>
      </c>
      <c r="D25" t="str">
        <v>YES</v>
      </c>
      <c r="E25" t="e">
        <v>#N/A</v>
      </c>
      <c r="F25" t="e">
        <v>#N/A</v>
      </c>
      <c r="G25" t="e">
        <v>#N/A</v>
      </c>
    </row>
    <row r="26" spans="1:7" x14ac:dyDescent="0.25">
      <c r="B26" t="str">
        <v>NUMBER_2</v>
      </c>
      <c r="C26" t="str">
        <v>DOUBLE</v>
      </c>
      <c r="D26" t="str">
        <v>YES</v>
      </c>
      <c r="E26" t="e">
        <v>#N/A</v>
      </c>
      <c r="F26" t="e">
        <v>#N/A</v>
      </c>
      <c r="G26" t="e">
        <v>#N/A</v>
      </c>
    </row>
    <row r="27" spans="1:7" x14ac:dyDescent="0.25">
      <c r="B27" t="str">
        <v>STRING_COL</v>
      </c>
      <c r="C27" t="str">
        <v>VARCHAR</v>
      </c>
      <c r="D27" t="str">
        <v>YES</v>
      </c>
      <c r="E27" t="e">
        <v>#N/A</v>
      </c>
      <c r="F27" t="e">
        <v>#N/A</v>
      </c>
      <c r="G27" t="e">
        <v>#N/A</v>
      </c>
    </row>
    <row r="28" spans="1:7" x14ac:dyDescent="0.25">
      <c r="B28" t="str">
        <v>EMPTY_COL</v>
      </c>
      <c r="C28" t="str">
        <v>VARCHAR</v>
      </c>
      <c r="D28" t="str">
        <v>YES</v>
      </c>
      <c r="E28" t="e">
        <v>#N/A</v>
      </c>
      <c r="F28" t="e">
        <v>#N/A</v>
      </c>
      <c r="G28" t="e">
        <v>#N/A</v>
      </c>
    </row>
    <row r="29" spans="1:7" x14ac:dyDescent="0.25">
      <c r="B29" t="str">
        <v>ERROR_COL</v>
      </c>
      <c r="C29" t="str">
        <v>VARCHAR</v>
      </c>
      <c r="D29" t="str">
        <v>YES</v>
      </c>
      <c r="E29" t="e">
        <v>#N/A</v>
      </c>
      <c r="F29" t="e">
        <v>#N/A</v>
      </c>
      <c r="G29" t="e">
        <v>#N/A</v>
      </c>
    </row>
    <row r="31" spans="1:7" x14ac:dyDescent="0.25">
      <c r="A31" t="s">
        <v>59</v>
      </c>
      <c r="B31" s="5" t="s">
        <v>52</v>
      </c>
    </row>
    <row r="32" spans="1:7" x14ac:dyDescent="0.25">
      <c r="B32" t="str" cm="1">
        <f t="array" ref="B32:F35">_xll.DUCKDB.EXEC(B31,$B$1:$F$4)</f>
        <v>NUMBER_1</v>
      </c>
      <c r="C32" t="str">
        <v>NUMBER_2</v>
      </c>
      <c r="D32" t="str">
        <v>STRING_COL</v>
      </c>
      <c r="E32" t="str">
        <v>EMPTY_COL</v>
      </c>
      <c r="F32" t="str">
        <v>ERROR_COL</v>
      </c>
    </row>
    <row r="33" spans="1:7" x14ac:dyDescent="0.25">
      <c r="B33">
        <v>1</v>
      </c>
      <c r="C33" t="str">
        <v>1.2</v>
      </c>
      <c r="D33" t="str">
        <v>abc</v>
      </c>
      <c r="E33" t="e">
        <v>#N/A</v>
      </c>
      <c r="F33" t="e">
        <v>#N/A</v>
      </c>
    </row>
    <row r="34" spans="1:7" x14ac:dyDescent="0.25">
      <c r="B34">
        <v>1.2</v>
      </c>
      <c r="C34" t="str">
        <v>1</v>
      </c>
      <c r="D34" t="str">
        <v>1.2</v>
      </c>
      <c r="E34" t="e">
        <v>#N/A</v>
      </c>
      <c r="F34" t="e">
        <v>#N/A</v>
      </c>
    </row>
    <row r="35" spans="1:7" x14ac:dyDescent="0.25">
      <c r="B35">
        <v>1.3</v>
      </c>
      <c r="C35" t="str">
        <v>abc</v>
      </c>
      <c r="D35" t="str">
        <v>1</v>
      </c>
      <c r="E35" t="e">
        <v>#N/A</v>
      </c>
      <c r="F35" t="e">
        <v>#N/A</v>
      </c>
    </row>
    <row r="37" spans="1:7" x14ac:dyDescent="0.25">
      <c r="B37" s="5" t="s">
        <v>53</v>
      </c>
    </row>
    <row r="38" spans="1:7" x14ac:dyDescent="0.25">
      <c r="B38" t="str" cm="1">
        <f t="array" ref="B38:G43">_xll.DUCKDB.EXEC(B37,$B$1:$F$4)</f>
        <v>column_name</v>
      </c>
      <c r="C38" t="str">
        <v>column_type</v>
      </c>
      <c r="D38" t="str">
        <v>null</v>
      </c>
      <c r="E38" t="str">
        <v>key</v>
      </c>
      <c r="F38" t="str">
        <v>default</v>
      </c>
      <c r="G38" t="str">
        <v>extra</v>
      </c>
    </row>
    <row r="39" spans="1:7" x14ac:dyDescent="0.25">
      <c r="A39" s="6"/>
      <c r="B39" t="str">
        <v>NUMBER_1</v>
      </c>
      <c r="C39" t="str">
        <v>DOUBLE</v>
      </c>
      <c r="D39" t="str">
        <v>YES</v>
      </c>
      <c r="E39" t="e">
        <v>#N/A</v>
      </c>
      <c r="F39" t="e">
        <v>#N/A</v>
      </c>
      <c r="G39" t="e">
        <v>#N/A</v>
      </c>
    </row>
    <row r="40" spans="1:7" x14ac:dyDescent="0.25">
      <c r="A40" s="6" t="s">
        <v>58</v>
      </c>
      <c r="B40" t="str">
        <v>NUMBER_2</v>
      </c>
      <c r="C40" t="str">
        <v>VARCHAR</v>
      </c>
      <c r="D40" t="str">
        <v>YES</v>
      </c>
      <c r="E40" t="e">
        <v>#N/A</v>
      </c>
      <c r="F40" t="e">
        <v>#N/A</v>
      </c>
      <c r="G40" t="e">
        <v>#N/A</v>
      </c>
    </row>
    <row r="41" spans="1:7" x14ac:dyDescent="0.25">
      <c r="B41" t="str">
        <v>STRING_COL</v>
      </c>
      <c r="C41" t="str">
        <v>VARCHAR</v>
      </c>
      <c r="D41" t="str">
        <v>YES</v>
      </c>
      <c r="E41" t="e">
        <v>#N/A</v>
      </c>
      <c r="F41" t="e">
        <v>#N/A</v>
      </c>
      <c r="G41" t="e">
        <v>#N/A</v>
      </c>
    </row>
    <row r="42" spans="1:7" x14ac:dyDescent="0.25">
      <c r="B42" t="str">
        <v>EMPTY_COL</v>
      </c>
      <c r="C42" t="str">
        <v>VARCHAR</v>
      </c>
      <c r="D42" t="str">
        <v>YES</v>
      </c>
      <c r="E42" t="e">
        <v>#N/A</v>
      </c>
      <c r="F42" t="e">
        <v>#N/A</v>
      </c>
      <c r="G42" t="e">
        <v>#N/A</v>
      </c>
    </row>
    <row r="43" spans="1:7" x14ac:dyDescent="0.25">
      <c r="B43" t="str">
        <v>ERROR_COL</v>
      </c>
      <c r="C43" t="str">
        <v>VARCHAR</v>
      </c>
      <c r="D43" t="str">
        <v>YES</v>
      </c>
      <c r="E43" t="e">
        <v>#N/A</v>
      </c>
      <c r="F43" t="e">
        <v>#N/A</v>
      </c>
      <c r="G43" t="e">
        <v>#N/A</v>
      </c>
    </row>
    <row r="45" spans="1:7" x14ac:dyDescent="0.25">
      <c r="A45" t="s">
        <v>60</v>
      </c>
      <c r="B45" s="5" t="s">
        <v>54</v>
      </c>
    </row>
    <row r="46" spans="1:7" x14ac:dyDescent="0.25">
      <c r="B46" t="str" cm="1">
        <f t="array" ref="B46">_xll.DUCKDB.EXEC(B45,$B$1:$F$4)</f>
        <v>Invalid Input Error: Error scanning xlrange: Column NUMBER_1, row 3: Failed to convert value to INTEGER.</v>
      </c>
    </row>
    <row r="48" spans="1:7" x14ac:dyDescent="0.25">
      <c r="A48" t="s">
        <v>61</v>
      </c>
      <c r="B48" s="5" t="s">
        <v>62</v>
      </c>
    </row>
    <row r="49" spans="1:7" x14ac:dyDescent="0.25">
      <c r="B49" t="str" cm="1">
        <f t="array" ref="B49:G54">_xll.DUCKDB.EXEC(B48,$B$1:$F$4)</f>
        <v>column_name</v>
      </c>
      <c r="C49" t="str">
        <v>column_type</v>
      </c>
      <c r="D49" t="str">
        <v>null</v>
      </c>
      <c r="E49" t="str">
        <v>key</v>
      </c>
      <c r="F49" t="str">
        <v>default</v>
      </c>
      <c r="G49" t="str">
        <v>extra</v>
      </c>
    </row>
    <row r="50" spans="1:7" x14ac:dyDescent="0.25">
      <c r="B50" t="str">
        <v>NUMBER_1</v>
      </c>
      <c r="C50" t="str">
        <v>DOUBLE</v>
      </c>
      <c r="D50" t="str">
        <v>YES</v>
      </c>
      <c r="E50" t="e">
        <v>#N/A</v>
      </c>
      <c r="F50" t="e">
        <v>#N/A</v>
      </c>
      <c r="G50" t="e">
        <v>#N/A</v>
      </c>
    </row>
    <row r="51" spans="1:7" x14ac:dyDescent="0.25">
      <c r="B51" t="str">
        <v>NUMBER_2</v>
      </c>
      <c r="C51" t="str">
        <v>VARCHAR</v>
      </c>
      <c r="D51" t="str">
        <v>YES</v>
      </c>
      <c r="E51" t="e">
        <v>#N/A</v>
      </c>
      <c r="F51" t="e">
        <v>#N/A</v>
      </c>
      <c r="G51" t="e">
        <v>#N/A</v>
      </c>
    </row>
    <row r="52" spans="1:7" x14ac:dyDescent="0.25">
      <c r="B52" t="str">
        <v>STRING_COL</v>
      </c>
      <c r="C52" t="str">
        <v>VARCHAR</v>
      </c>
      <c r="D52" t="str">
        <v>YES</v>
      </c>
      <c r="E52" t="e">
        <v>#N/A</v>
      </c>
      <c r="F52" t="e">
        <v>#N/A</v>
      </c>
      <c r="G52" t="e">
        <v>#N/A</v>
      </c>
    </row>
    <row r="53" spans="1:7" x14ac:dyDescent="0.25">
      <c r="B53" t="str">
        <v>EMPTY_COL</v>
      </c>
      <c r="C53" t="str">
        <v>VARCHAR</v>
      </c>
      <c r="D53" t="str">
        <v>YES</v>
      </c>
      <c r="E53" t="e">
        <v>#N/A</v>
      </c>
      <c r="F53" t="e">
        <v>#N/A</v>
      </c>
      <c r="G53" t="e">
        <v>#N/A</v>
      </c>
    </row>
    <row r="54" spans="1:7" x14ac:dyDescent="0.25">
      <c r="B54" t="str">
        <v>ERROR_COL</v>
      </c>
      <c r="C54" t="str">
        <v>VARCHAR</v>
      </c>
      <c r="D54" t="str">
        <v>YES</v>
      </c>
      <c r="E54" t="e">
        <v>#N/A</v>
      </c>
      <c r="F54" t="e">
        <v>#N/A</v>
      </c>
      <c r="G54" t="e">
        <v>#N/A</v>
      </c>
    </row>
    <row r="56" spans="1:7" x14ac:dyDescent="0.25">
      <c r="A56" t="s">
        <v>63</v>
      </c>
      <c r="B56" s="5" t="s">
        <v>64</v>
      </c>
    </row>
    <row r="57" spans="1:7" x14ac:dyDescent="0.25">
      <c r="B57" t="str" cm="1">
        <f t="array" ref="B57:G62">_xll.DUCKDB.EXEC(B56,$B$1:$F$4)</f>
        <v>column_name</v>
      </c>
      <c r="C57" t="str">
        <v>column_type</v>
      </c>
      <c r="D57" t="str">
        <v>null</v>
      </c>
      <c r="E57" t="str">
        <v>key</v>
      </c>
      <c r="F57" t="str">
        <v>default</v>
      </c>
      <c r="G57" t="str">
        <v>extra</v>
      </c>
    </row>
    <row r="58" spans="1:7" x14ac:dyDescent="0.25">
      <c r="B58" t="str">
        <v>NUMBER_1</v>
      </c>
      <c r="C58" t="str">
        <v>VARCHAR</v>
      </c>
      <c r="D58" t="str">
        <v>YES</v>
      </c>
      <c r="E58" t="e">
        <v>#N/A</v>
      </c>
      <c r="F58" t="e">
        <v>#N/A</v>
      </c>
      <c r="G58" t="e">
        <v>#N/A</v>
      </c>
    </row>
    <row r="59" spans="1:7" x14ac:dyDescent="0.25">
      <c r="B59" t="str">
        <v>NUMBER_2</v>
      </c>
      <c r="C59" t="str">
        <v>VARCHAR</v>
      </c>
      <c r="D59" t="str">
        <v>YES</v>
      </c>
      <c r="E59" t="e">
        <v>#N/A</v>
      </c>
      <c r="F59" t="e">
        <v>#N/A</v>
      </c>
      <c r="G59" t="e">
        <v>#N/A</v>
      </c>
    </row>
    <row r="60" spans="1:7" x14ac:dyDescent="0.25">
      <c r="B60" t="str">
        <v>STRING_COL</v>
      </c>
      <c r="C60" t="str">
        <v>VARCHAR</v>
      </c>
      <c r="D60" t="str">
        <v>YES</v>
      </c>
      <c r="E60" t="e">
        <v>#N/A</v>
      </c>
      <c r="F60" t="e">
        <v>#N/A</v>
      </c>
      <c r="G60" t="e">
        <v>#N/A</v>
      </c>
    </row>
    <row r="61" spans="1:7" x14ac:dyDescent="0.25">
      <c r="B61" t="str">
        <v>EMPTY_COL</v>
      </c>
      <c r="C61" t="str">
        <v>VARCHAR</v>
      </c>
      <c r="D61" t="str">
        <v>YES</v>
      </c>
      <c r="E61" t="e">
        <v>#N/A</v>
      </c>
      <c r="F61" t="e">
        <v>#N/A</v>
      </c>
      <c r="G61" t="e">
        <v>#N/A</v>
      </c>
    </row>
    <row r="62" spans="1:7" x14ac:dyDescent="0.25">
      <c r="B62" t="str">
        <v>ERROR_COL</v>
      </c>
      <c r="C62" t="str">
        <v>VARCHAR</v>
      </c>
      <c r="D62" t="str">
        <v>YES</v>
      </c>
      <c r="E62" t="e">
        <v>#N/A</v>
      </c>
      <c r="F62" t="e">
        <v>#N/A</v>
      </c>
      <c r="G62" t="e">
        <v>#N/A</v>
      </c>
    </row>
    <row r="64" spans="1:7" x14ac:dyDescent="0.25">
      <c r="A64" t="s">
        <v>81</v>
      </c>
      <c r="B64" s="5" t="s">
        <v>82</v>
      </c>
    </row>
    <row r="65" spans="1:6" x14ac:dyDescent="0.25">
      <c r="B65" t="str" cm="1">
        <f t="array" ref="B65:F69">_xll.DUCKDB.EXEC(B64,B1:F4)</f>
        <v>column_0</v>
      </c>
      <c r="C65" t="str">
        <v>column_1</v>
      </c>
      <c r="D65" t="str">
        <v>column_2</v>
      </c>
      <c r="E65" t="str">
        <v>column_3</v>
      </c>
      <c r="F65" t="str">
        <v>column_4</v>
      </c>
    </row>
    <row r="66" spans="1:6" x14ac:dyDescent="0.25">
      <c r="B66" t="str">
        <v>NUMBER_1</v>
      </c>
      <c r="C66" t="str">
        <v>NUMBER_2</v>
      </c>
      <c r="D66" t="str">
        <v>STRING_COL</v>
      </c>
      <c r="E66" t="str">
        <v>EMPTY_COL</v>
      </c>
      <c r="F66" t="str">
        <v>ERROR_COL</v>
      </c>
    </row>
    <row r="67" spans="1:6" x14ac:dyDescent="0.25">
      <c r="B67" t="str">
        <v>1</v>
      </c>
      <c r="C67" t="str">
        <v>1.2</v>
      </c>
      <c r="D67" t="str">
        <v>abc</v>
      </c>
      <c r="E67" t="e">
        <v>#N/A</v>
      </c>
      <c r="F67" t="e">
        <v>#N/A</v>
      </c>
    </row>
    <row r="68" spans="1:6" x14ac:dyDescent="0.25">
      <c r="B68" t="str">
        <v>1.2</v>
      </c>
      <c r="C68" t="str">
        <v>1</v>
      </c>
      <c r="D68" t="str">
        <v>1.2</v>
      </c>
      <c r="E68" t="e">
        <v>#N/A</v>
      </c>
      <c r="F68" t="e">
        <v>#N/A</v>
      </c>
    </row>
    <row r="69" spans="1:6" x14ac:dyDescent="0.25">
      <c r="B69" t="str">
        <v>1.3</v>
      </c>
      <c r="C69" t="str">
        <v>abc</v>
      </c>
      <c r="D69" t="str">
        <v>1</v>
      </c>
      <c r="E69" t="e">
        <v>#N/A</v>
      </c>
      <c r="F69" t="e">
        <v>#N/A</v>
      </c>
    </row>
    <row r="71" spans="1:6" x14ac:dyDescent="0.25">
      <c r="A71" t="s">
        <v>84</v>
      </c>
      <c r="B71" t="s">
        <v>85</v>
      </c>
      <c r="D71" t="b">
        <v>1</v>
      </c>
    </row>
    <row r="72" spans="1:6" x14ac:dyDescent="0.25">
      <c r="B72">
        <v>1</v>
      </c>
      <c r="C72">
        <v>1.2</v>
      </c>
      <c r="D72" t="b">
        <v>1</v>
      </c>
      <c r="E72" t="e">
        <v>#N/A</v>
      </c>
    </row>
    <row r="73" spans="1:6" x14ac:dyDescent="0.25">
      <c r="B73">
        <v>1.2</v>
      </c>
      <c r="C73">
        <v>1</v>
      </c>
      <c r="D73">
        <v>0</v>
      </c>
    </row>
    <row r="74" spans="1:6" x14ac:dyDescent="0.25">
      <c r="B74">
        <v>1.3</v>
      </c>
      <c r="C74" t="s">
        <v>49</v>
      </c>
      <c r="D74">
        <v>1</v>
      </c>
      <c r="E74" s="7">
        <v>46387</v>
      </c>
    </row>
    <row r="76" spans="1:6" x14ac:dyDescent="0.25">
      <c r="A76" t="s">
        <v>86</v>
      </c>
      <c r="B76" s="5" t="s">
        <v>87</v>
      </c>
    </row>
    <row r="77" spans="1:6" x14ac:dyDescent="0.25">
      <c r="B77" t="str" cm="1">
        <f t="array" ref="B77">_xll.DUCKDB.EXEC(B76,B71:E74)</f>
        <v>Binder Error: Error binding xlrange: Column #2: Invalid column name. Column names must be non-empty and valid DuckDB identifiers.
LINE 1: select * from xlrange(1, strict=true)
                      ^</v>
      </c>
    </row>
    <row r="79" spans="1:6" x14ac:dyDescent="0.25">
      <c r="A79" t="s">
        <v>88</v>
      </c>
      <c r="B79" s="5" t="s">
        <v>89</v>
      </c>
    </row>
    <row r="80" spans="1:6" x14ac:dyDescent="0.25">
      <c r="B80" t="str" cm="1">
        <f t="array" ref="B80:E83">_xll.DUCKDB.EXEC(B79,B71:E74)</f>
        <v>col1</v>
      </c>
      <c r="C80" t="str">
        <v>unnamed_0</v>
      </c>
      <c r="D80" t="str">
        <v>TRUE</v>
      </c>
      <c r="E80" t="str">
        <v>unnamed_1</v>
      </c>
    </row>
    <row r="81" spans="1:5" x14ac:dyDescent="0.25">
      <c r="B81">
        <v>1</v>
      </c>
      <c r="C81" t="str">
        <v>1.2</v>
      </c>
      <c r="D81" t="b">
        <v>1</v>
      </c>
      <c r="E81" t="e">
        <v>#N/A</v>
      </c>
    </row>
    <row r="82" spans="1:5" x14ac:dyDescent="0.25">
      <c r="B82">
        <v>1.2</v>
      </c>
      <c r="C82" t="str">
        <v>1</v>
      </c>
      <c r="D82" t="b">
        <v>0</v>
      </c>
      <c r="E82" t="e">
        <v>#N/A</v>
      </c>
    </row>
    <row r="83" spans="1:5" x14ac:dyDescent="0.25">
      <c r="B83">
        <v>1.3</v>
      </c>
      <c r="C83" t="str">
        <v>abc</v>
      </c>
      <c r="D83" t="b">
        <v>1</v>
      </c>
      <c r="E83">
        <v>46387</v>
      </c>
    </row>
    <row r="85" spans="1:5" x14ac:dyDescent="0.25">
      <c r="A85" t="s">
        <v>90</v>
      </c>
      <c r="B85" t="s">
        <v>91</v>
      </c>
      <c r="C85" t="s">
        <v>91</v>
      </c>
    </row>
    <row r="86" spans="1:5" x14ac:dyDescent="0.25">
      <c r="B86">
        <v>1</v>
      </c>
      <c r="C86">
        <v>1.2</v>
      </c>
    </row>
    <row r="87" spans="1:5" x14ac:dyDescent="0.25">
      <c r="B87">
        <v>1.2</v>
      </c>
      <c r="C87">
        <v>1</v>
      </c>
    </row>
    <row r="88" spans="1:5" x14ac:dyDescent="0.25">
      <c r="B88">
        <v>1.3</v>
      </c>
      <c r="C88" t="s">
        <v>49</v>
      </c>
      <c r="E88" s="7"/>
    </row>
    <row r="90" spans="1:5" x14ac:dyDescent="0.25">
      <c r="A90" t="s">
        <v>86</v>
      </c>
      <c r="B90" s="5" t="s">
        <v>87</v>
      </c>
    </row>
    <row r="91" spans="1:5" x14ac:dyDescent="0.25">
      <c r="B91" t="str" cm="1">
        <f t="array" ref="B91">_xll.DUCKDB.EXEC(B90,B85:C88)</f>
        <v>Binder Error: table "xlrange" has duplicate column name "dup"
LINE 1: select * from xlrange(1, strict=true)
                      ^</v>
      </c>
    </row>
    <row r="93" spans="1:5" x14ac:dyDescent="0.25">
      <c r="A93" t="s">
        <v>88</v>
      </c>
      <c r="B93" s="5" t="s">
        <v>89</v>
      </c>
    </row>
    <row r="94" spans="1:5" x14ac:dyDescent="0.25">
      <c r="B94" t="str" cm="1">
        <f t="array" ref="B94:C97">_xll.DUCKDB.EXEC(B93,B85:C88)</f>
        <v>dup</v>
      </c>
      <c r="C94" t="str">
        <v>dup_1</v>
      </c>
    </row>
    <row r="95" spans="1:5" x14ac:dyDescent="0.25">
      <c r="B95">
        <v>1</v>
      </c>
      <c r="C95" t="str">
        <v>1.2</v>
      </c>
    </row>
    <row r="96" spans="1:5" x14ac:dyDescent="0.25">
      <c r="B96">
        <v>1.2</v>
      </c>
      <c r="C96" t="str">
        <v>1</v>
      </c>
    </row>
    <row r="97" spans="1:3" x14ac:dyDescent="0.25">
      <c r="B97">
        <v>1.3</v>
      </c>
      <c r="C97" t="str">
        <v>abc</v>
      </c>
    </row>
    <row r="99" spans="1:3" x14ac:dyDescent="0.25">
      <c r="A99" t="s">
        <v>101</v>
      </c>
      <c r="B99" s="5" t="s">
        <v>102</v>
      </c>
    </row>
    <row r="100" spans="1:3" x14ac:dyDescent="0.25">
      <c r="B100" t="str" cm="1">
        <f t="array" ref="B100">_xll.DUCKDB.EXEC(B99,B85:C88)</f>
        <v>Invalid Input Error: Error scanning xlrange: Column dup_1, row 4: Failed to convert value to DOUBLE.</v>
      </c>
    </row>
    <row r="102" spans="1:3" x14ac:dyDescent="0.25">
      <c r="A102" t="s">
        <v>103</v>
      </c>
      <c r="B102" s="5" t="s">
        <v>104</v>
      </c>
    </row>
    <row r="103" spans="1:3" x14ac:dyDescent="0.25">
      <c r="B103" t="str" cm="1">
        <f t="array" ref="B103:C106">_xll.DUCKDB.EXEC(B102,B85:C88)</f>
        <v>dup</v>
      </c>
      <c r="C103" t="str">
        <v>dup_1</v>
      </c>
    </row>
    <row r="104" spans="1:3" x14ac:dyDescent="0.25">
      <c r="B104">
        <v>1</v>
      </c>
      <c r="C104">
        <v>1.2</v>
      </c>
    </row>
    <row r="105" spans="1:3" x14ac:dyDescent="0.25">
      <c r="B105">
        <v>1.2</v>
      </c>
      <c r="C105">
        <v>1</v>
      </c>
    </row>
    <row r="106" spans="1:3" x14ac:dyDescent="0.25">
      <c r="B106">
        <v>1.3</v>
      </c>
      <c r="C106" t="e">
        <v>#N/A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36AEC-DD0A-4797-B454-6E20C81CB53A}">
  <dimension ref="A1:D10"/>
  <sheetViews>
    <sheetView workbookViewId="0">
      <selection activeCell="A10" sqref="A10"/>
    </sheetView>
  </sheetViews>
  <sheetFormatPr defaultRowHeight="15" x14ac:dyDescent="0.25"/>
  <cols>
    <col min="1" max="1" width="23.85546875" customWidth="1"/>
    <col min="2" max="2" width="25.140625" customWidth="1"/>
    <col min="3" max="3" width="22.42578125" customWidth="1"/>
    <col min="4" max="4" width="24.140625" customWidth="1"/>
    <col min="7" max="7" width="10.5703125" bestFit="1" customWidth="1"/>
  </cols>
  <sheetData>
    <row r="1" spans="1:4" x14ac:dyDescent="0.25">
      <c r="A1" t="s">
        <v>47</v>
      </c>
      <c r="B1" t="s">
        <v>67</v>
      </c>
      <c r="C1" t="s">
        <v>68</v>
      </c>
      <c r="D1" t="s">
        <v>69</v>
      </c>
    </row>
    <row r="2" spans="1:4" x14ac:dyDescent="0.25">
      <c r="B2" s="7">
        <v>46387</v>
      </c>
      <c r="C2" s="8">
        <v>0.39635416666666667</v>
      </c>
      <c r="D2" s="4">
        <v>46387.396354166667</v>
      </c>
    </row>
    <row r="4" spans="1:4" x14ac:dyDescent="0.25">
      <c r="A4" t="s">
        <v>96</v>
      </c>
      <c r="B4" s="5" t="s">
        <v>98</v>
      </c>
    </row>
    <row r="5" spans="1:4" x14ac:dyDescent="0.25">
      <c r="A5" t="s">
        <v>97</v>
      </c>
      <c r="B5" t="str" cm="1">
        <f t="array" ref="B5:D6">_xll.DUCKDB.EXEC(B4,B1:D2)</f>
        <v>CAST(xldate(CAST(date_col AS "DOUBLE")) AS VARCHAR)</v>
      </c>
      <c r="C5" t="str">
        <v>CAST(xltime(CAST(time_col AS "DOUBLE")) AS VARCHAR)</v>
      </c>
      <c r="D5" t="str">
        <v>CAST(xldatetime(CAST(datetime_col AS "DOUBLE")) AS VARCHAR)</v>
      </c>
    </row>
    <row r="6" spans="1:4" x14ac:dyDescent="0.25">
      <c r="B6" s="7" t="str">
        <v>2026-12-31</v>
      </c>
      <c r="C6" s="9" t="str">
        <v>09:30:45</v>
      </c>
      <c r="D6" s="4" t="str">
        <v>2026-12-31 09:30:45</v>
      </c>
    </row>
    <row r="8" spans="1:4" x14ac:dyDescent="0.25">
      <c r="A8" t="s">
        <v>96</v>
      </c>
      <c r="B8" s="5" t="s">
        <v>99</v>
      </c>
    </row>
    <row r="9" spans="1:4" x14ac:dyDescent="0.25">
      <c r="A9" t="s">
        <v>100</v>
      </c>
      <c r="B9" t="str" cm="1">
        <f t="array" ref="B9:D10">_xll.DUCKDB.EXEC(B8,A1:D2)</f>
        <v>CAST(xldate(CAST(date_col AS INTEGER)) AS VARCHAR)</v>
      </c>
      <c r="C9" t="str">
        <v>CAST(xltime(CAST(time_col AS INTEGER)) AS VARCHAR)</v>
      </c>
      <c r="D9" t="str">
        <v>CAST(xldatetime(CAST(datetime_col AS INTEGER)) AS VARCHAR)</v>
      </c>
    </row>
    <row r="10" spans="1:4" x14ac:dyDescent="0.25">
      <c r="B10" s="7" t="str">
        <v>2026-12-31</v>
      </c>
      <c r="C10" t="str">
        <v>00:00:00</v>
      </c>
      <c r="D10" t="str">
        <v>2026-12-31 00:00:00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84BE2-F564-4E42-8CE8-BFC8C65E358F}">
  <dimension ref="A1:B13"/>
  <sheetViews>
    <sheetView workbookViewId="0">
      <selection activeCell="B12" sqref="B12"/>
    </sheetView>
  </sheetViews>
  <sheetFormatPr defaultRowHeight="15" x14ac:dyDescent="0.25"/>
  <cols>
    <col min="1" max="1" width="17.28515625" customWidth="1"/>
    <col min="2" max="2" width="28.28515625" bestFit="1" customWidth="1"/>
  </cols>
  <sheetData>
    <row r="1" spans="1:2" x14ac:dyDescent="0.25">
      <c r="A1" t="s">
        <v>78</v>
      </c>
      <c r="B1" s="5" t="s">
        <v>70</v>
      </c>
    </row>
    <row r="2" spans="1:2" x14ac:dyDescent="0.25">
      <c r="B2" s="5" t="s">
        <v>71</v>
      </c>
    </row>
    <row r="3" spans="1:2" x14ac:dyDescent="0.25">
      <c r="B3" t="str" cm="1">
        <f t="array" ref="B3:B4">_xll.DUCKDB.EXECX(B1,B2)</f>
        <v>test_macro(1)</v>
      </c>
    </row>
    <row r="4" spans="1:2" x14ac:dyDescent="0.25">
      <c r="B4">
        <v>1</v>
      </c>
    </row>
    <row r="6" spans="1:2" x14ac:dyDescent="0.25">
      <c r="A6" t="s">
        <v>92</v>
      </c>
      <c r="B6" s="5" t="s">
        <v>76</v>
      </c>
    </row>
    <row r="7" spans="1:2" x14ac:dyDescent="0.25">
      <c r="B7" t="str" cm="1">
        <f t="array" ref="B7:B8">_xll.DUCKDB.EXECA(,B6)</f>
        <v>1</v>
      </c>
    </row>
    <row r="8" spans="1:2" x14ac:dyDescent="0.25">
      <c r="B8">
        <v>1</v>
      </c>
    </row>
    <row r="10" spans="1:2" x14ac:dyDescent="0.25">
      <c r="A10" t="s">
        <v>95</v>
      </c>
      <c r="B10" s="5" t="s">
        <v>70</v>
      </c>
    </row>
    <row r="11" spans="1:2" x14ac:dyDescent="0.25">
      <c r="B11" s="5" t="s">
        <v>71</v>
      </c>
    </row>
    <row r="12" spans="1:2" x14ac:dyDescent="0.25">
      <c r="B12" t="str" cm="1">
        <f t="array" ref="B12:B13">_xll.DUCKDB.EXECAX(,B10,B11)</f>
        <v>test_macro(1)</v>
      </c>
    </row>
    <row r="13" spans="1:2" x14ac:dyDescent="0.25">
      <c r="B13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E5724-67A3-4259-906B-37F92D367239}">
  <dimension ref="A1:B27"/>
  <sheetViews>
    <sheetView workbookViewId="0">
      <selection activeCell="B27" sqref="B27"/>
    </sheetView>
  </sheetViews>
  <sheetFormatPr defaultRowHeight="15" x14ac:dyDescent="0.25"/>
  <cols>
    <col min="1" max="1" width="11.85546875" customWidth="1"/>
    <col min="2" max="2" width="10.85546875" customWidth="1"/>
  </cols>
  <sheetData>
    <row r="1" spans="1:2" x14ac:dyDescent="0.25">
      <c r="A1" t="s">
        <v>65</v>
      </c>
      <c r="B1">
        <v>1</v>
      </c>
    </row>
    <row r="2" spans="1:2" x14ac:dyDescent="0.25">
      <c r="B2" s="5" t="s">
        <v>72</v>
      </c>
    </row>
    <row r="3" spans="1:2" x14ac:dyDescent="0.25">
      <c r="B3" t="str" cm="1">
        <f t="array" ref="B3:B4">_xll.DUCKDB.EXEC(B2,B1)</f>
        <v>$1</v>
      </c>
    </row>
    <row r="4" spans="1:2" x14ac:dyDescent="0.25">
      <c r="B4">
        <v>1</v>
      </c>
    </row>
    <row r="6" spans="1:2" x14ac:dyDescent="0.25">
      <c r="A6" t="s">
        <v>66</v>
      </c>
      <c r="B6">
        <v>1.2</v>
      </c>
    </row>
    <row r="7" spans="1:2" x14ac:dyDescent="0.25">
      <c r="B7" s="5" t="s">
        <v>72</v>
      </c>
    </row>
    <row r="8" spans="1:2" x14ac:dyDescent="0.25">
      <c r="B8" t="str" cm="1">
        <f t="array" ref="B8:B9">_xll.DUCKDB.EXEC(B7,B6)</f>
        <v>$1</v>
      </c>
    </row>
    <row r="9" spans="1:2" x14ac:dyDescent="0.25">
      <c r="B9">
        <v>1.2</v>
      </c>
    </row>
    <row r="10" spans="1:2" x14ac:dyDescent="0.25">
      <c r="A10" t="s">
        <v>8</v>
      </c>
      <c r="B10" t="s">
        <v>49</v>
      </c>
    </row>
    <row r="11" spans="1:2" x14ac:dyDescent="0.25">
      <c r="B11" s="5" t="s">
        <v>72</v>
      </c>
    </row>
    <row r="12" spans="1:2" x14ac:dyDescent="0.25">
      <c r="B12" t="str" cm="1">
        <f t="array" ref="B12:B13">_xll.DUCKDB.EXEC(B11,B10)</f>
        <v>$1</v>
      </c>
    </row>
    <row r="13" spans="1:2" x14ac:dyDescent="0.25">
      <c r="B13" t="str">
        <v>abc</v>
      </c>
    </row>
    <row r="15" spans="1:2" x14ac:dyDescent="0.25">
      <c r="A15" t="s">
        <v>7</v>
      </c>
      <c r="B15" t="b">
        <v>0</v>
      </c>
    </row>
    <row r="16" spans="1:2" x14ac:dyDescent="0.25">
      <c r="B16" s="5" t="s">
        <v>72</v>
      </c>
    </row>
    <row r="17" spans="1:2" x14ac:dyDescent="0.25">
      <c r="B17" t="str" cm="1">
        <f t="array" ref="B17:B18">_xll.DUCKDB.EXEC(B16,B15)</f>
        <v>$1</v>
      </c>
    </row>
    <row r="18" spans="1:2" x14ac:dyDescent="0.25">
      <c r="B18" t="b">
        <v>0</v>
      </c>
    </row>
    <row r="20" spans="1:2" x14ac:dyDescent="0.25">
      <c r="A20" t="s">
        <v>73</v>
      </c>
    </row>
    <row r="21" spans="1:2" x14ac:dyDescent="0.25">
      <c r="B21" s="5" t="s">
        <v>72</v>
      </c>
    </row>
    <row r="22" spans="1:2" x14ac:dyDescent="0.25">
      <c r="B22" t="str" cm="1">
        <f t="array" ref="B22:B23">_xll.DUCKDB.EXEC(B21,B20)</f>
        <v>$1</v>
      </c>
    </row>
    <row r="23" spans="1:2" x14ac:dyDescent="0.25">
      <c r="B23" t="e">
        <v>#N/A</v>
      </c>
    </row>
    <row r="25" spans="1:2" x14ac:dyDescent="0.25">
      <c r="A25" t="s">
        <v>74</v>
      </c>
      <c r="B25" t="e">
        <f>1/0</f>
        <v>#DIV/0!</v>
      </c>
    </row>
    <row r="26" spans="1:2" x14ac:dyDescent="0.25">
      <c r="B26" s="5" t="s">
        <v>72</v>
      </c>
    </row>
    <row r="27" spans="1:2" x14ac:dyDescent="0.25">
      <c r="B27" t="str" cm="1">
        <f t="array" ref="B27">_xll.DUCKDB.EXEC(B26,B25)</f>
        <v>Error: Parameter binding failed.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C1CB2-5A89-4EE9-B7B8-26D912A856F1}">
  <dimension ref="A1"/>
  <sheetViews>
    <sheetView workbookViewId="0">
      <selection activeCell="C7" sqref="C7"/>
    </sheetView>
  </sheetViews>
  <sheetFormatPr defaultRowHeight="15" x14ac:dyDescent="0.25"/>
  <cols>
    <col min="1" max="1" width="19.85546875" bestFit="1" customWidth="1"/>
  </cols>
  <sheetData>
    <row r="1" spans="1:1" ht="60" x14ac:dyDescent="0.25">
      <c r="A1" s="1" t="str" cm="1">
        <f t="array" ref="A1">_xll.DUCKDB.INFO()</f>
        <v>Add-in version: v1.5.1
DuckDB version: v1.5.5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79F08-AA5E-452D-9515-58424370F18B}">
  <dimension ref="A1:A3"/>
  <sheetViews>
    <sheetView workbookViewId="0">
      <selection activeCell="E5" sqref="E5"/>
    </sheetView>
  </sheetViews>
  <sheetFormatPr defaultRowHeight="15" x14ac:dyDescent="0.25"/>
  <cols>
    <col min="1" max="1" width="31.28515625" customWidth="1"/>
  </cols>
  <sheetData>
    <row r="1" spans="1:1" ht="75" x14ac:dyDescent="0.25">
      <c r="A1" s="10" t="s">
        <v>80</v>
      </c>
    </row>
    <row r="2" spans="1:1" x14ac:dyDescent="0.25">
      <c r="A2" t="str" cm="1">
        <f t="array" ref="A2:A3">_xll.DUCKDB.EXEC(A1)</f>
        <v>count_star()</v>
      </c>
    </row>
    <row r="3" spans="1:1" x14ac:dyDescent="0.25">
      <c r="A3">
        <v>10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166A-6705-4BE6-BC5D-3DDB4234D0EA}">
  <dimension ref="A1:B12"/>
  <sheetViews>
    <sheetView workbookViewId="0">
      <selection activeCell="B11" sqref="B11"/>
    </sheetView>
  </sheetViews>
  <sheetFormatPr defaultRowHeight="15" x14ac:dyDescent="0.25"/>
  <cols>
    <col min="1" max="1" width="21" bestFit="1" customWidth="1"/>
  </cols>
  <sheetData>
    <row r="1" spans="1:2" x14ac:dyDescent="0.25">
      <c r="B1" t="s">
        <v>76</v>
      </c>
    </row>
    <row r="2" spans="1:2" x14ac:dyDescent="0.25">
      <c r="A2" t="s">
        <v>77</v>
      </c>
      <c r="B2" t="str" cm="1">
        <f t="array" ref="B2:B3">_xll.DUCKDB.EXEC.ASYNC(B1)</f>
        <v>1</v>
      </c>
    </row>
    <row r="3" spans="1:2" x14ac:dyDescent="0.25">
      <c r="B3">
        <v>1</v>
      </c>
    </row>
    <row r="5" spans="1:2" x14ac:dyDescent="0.25">
      <c r="A5" t="s">
        <v>79</v>
      </c>
      <c r="B5" t="str" cm="1">
        <f t="array" ref="B5:B6">_xll.DUCKDB.EXECX.ASYNC(,B1)</f>
        <v>1</v>
      </c>
    </row>
    <row r="6" spans="1:2" x14ac:dyDescent="0.25">
      <c r="B6">
        <v>1</v>
      </c>
    </row>
    <row r="8" spans="1:2" x14ac:dyDescent="0.25">
      <c r="A8" t="s">
        <v>93</v>
      </c>
      <c r="B8" t="str" cm="1">
        <f t="array" ref="B8:B9">_xll.DUCKDB.EXECA.ASYNC(,B1)</f>
        <v>1</v>
      </c>
    </row>
    <row r="9" spans="1:2" x14ac:dyDescent="0.25">
      <c r="B9">
        <v>1</v>
      </c>
    </row>
    <row r="11" spans="1:2" x14ac:dyDescent="0.25">
      <c r="A11" t="s">
        <v>94</v>
      </c>
      <c r="B11" t="str" cm="1">
        <f t="array" ref="B11:B12">_xll.DUCKDB.EXECAX.ASYNC(,,B1)</f>
        <v>1</v>
      </c>
    </row>
    <row r="12" spans="1:2" x14ac:dyDescent="0.25">
      <c r="B12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VALUES</vt:lpstr>
      <vt:lpstr>INFERENCE</vt:lpstr>
      <vt:lpstr>TYPE DOWNGRADE</vt:lpstr>
      <vt:lpstr>XLRANGE</vt:lpstr>
      <vt:lpstr>SCALAR FUNCS</vt:lpstr>
      <vt:lpstr>EXECX-A-AX</vt:lpstr>
      <vt:lpstr>BIND</vt:lpstr>
      <vt:lpstr>INFO</vt:lpstr>
      <vt:lpstr>MULTI STMTS</vt:lpstr>
      <vt:lpstr>ASYNC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Son, Hoang Ngoc - Kiem toan noi bo - Kiem toan vien cap 3</dc:creator>
  <cp:lastModifiedBy>ngoc son</cp:lastModifiedBy>
  <dcterms:created xsi:type="dcterms:W3CDTF">2026-08-20T06:08:06Z</dcterms:created>
  <dcterms:modified xsi:type="dcterms:W3CDTF">2026-09-21T11:30:24Z</dcterms:modified>
</cp:coreProperties>
</file>