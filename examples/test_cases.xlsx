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rsonal\src\DuckDBExcelAddin\examples\"/>
    </mc:Choice>
  </mc:AlternateContent>
  <xr:revisionPtr revIDLastSave="0" documentId="13_ncr:1_{EFE4EC1E-E554-4308-82BE-68C2E83E1354}" xr6:coauthVersionLast="47" xr6:coauthVersionMax="47" xr10:uidLastSave="{00000000-0000-0000-0000-000000000000}"/>
  <bookViews>
    <workbookView xWindow="-108" yWindow="-108" windowWidth="23256" windowHeight="13896" xr2:uid="{16A29E05-5294-4C93-91C1-6C3B8F27AE65}"/>
  </bookViews>
  <sheets>
    <sheet name="RESULT" sheetId="6" r:id="rId1"/>
    <sheet name="VALUES" sheetId="1" r:id="rId2"/>
    <sheet name="BIND" sheetId="5" r:id="rId3"/>
    <sheet name="INFERENCE_1" sheetId="10" r:id="rId4"/>
    <sheet name="INFERENCE_2" sheetId="11" r:id="rId5"/>
    <sheet name="CONVERT" sheetId="12" r:id="rId6"/>
    <sheet name="XLRANGE OPTIONS" sheetId="2" r:id="rId7"/>
    <sheet name="SCALAR FUNCS" sheetId="3" r:id="rId8"/>
    <sheet name="EXECX-A-AX-ASYNC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9" i="1" l="1" a="1"/>
  <c r="C39" i="1" s="1"/>
  <c r="B9" i="6"/>
  <c r="E69" i="2" a="1"/>
  <c r="E69" i="2" s="1"/>
  <c r="F69" i="2" s="1"/>
  <c r="E66" i="2" a="1"/>
  <c r="E66" i="2" s="1"/>
  <c r="F66" i="2" s="1"/>
  <c r="E63" i="2" a="1"/>
  <c r="E63" i="2" s="1"/>
  <c r="F63" i="2" s="1"/>
  <c r="E60" i="2" a="1"/>
  <c r="E60" i="2" s="1"/>
  <c r="F60" i="2" s="1"/>
  <c r="F112" i="12" a="1"/>
  <c r="F112" i="12" s="1"/>
  <c r="F110" i="12" a="1"/>
  <c r="F110" i="12" s="1"/>
  <c r="F108" i="12" a="1"/>
  <c r="F108" i="12" s="1"/>
  <c r="F106" i="12" a="1"/>
  <c r="F106" i="12" s="1"/>
  <c r="F104" i="12" a="1"/>
  <c r="F104" i="12" s="1"/>
  <c r="F102" i="12" a="1"/>
  <c r="F102" i="12" s="1"/>
  <c r="F100" i="12" a="1"/>
  <c r="F100" i="12" s="1"/>
  <c r="F98" i="12" a="1"/>
  <c r="F98" i="12" s="1"/>
  <c r="F96" i="12" a="1"/>
  <c r="F96" i="12" s="1"/>
  <c r="F94" i="12" a="1"/>
  <c r="F94" i="12" s="1"/>
  <c r="F92" i="12" a="1"/>
  <c r="F92" i="12" s="1"/>
  <c r="F90" i="12" a="1"/>
  <c r="F90" i="12" s="1"/>
  <c r="F88" i="12" a="1"/>
  <c r="F88" i="12" s="1"/>
  <c r="F86" i="12" a="1"/>
  <c r="F86" i="12" s="1"/>
  <c r="F84" i="12" a="1"/>
  <c r="F84" i="12" s="1"/>
  <c r="F82" i="12" a="1"/>
  <c r="F82" i="12" s="1"/>
  <c r="F80" i="12" a="1"/>
  <c r="F80" i="12" s="1"/>
  <c r="F78" i="12" a="1"/>
  <c r="F78" i="12" s="1"/>
  <c r="F76" i="12" a="1"/>
  <c r="F76" i="12" s="1"/>
  <c r="F74" i="12" a="1"/>
  <c r="F74" i="12" s="1"/>
  <c r="F72" i="12" a="1"/>
  <c r="F72" i="12" s="1"/>
  <c r="F70" i="12" a="1"/>
  <c r="F70" i="12" s="1"/>
  <c r="F68" i="12" a="1"/>
  <c r="F68" i="12" s="1"/>
  <c r="F66" i="12" a="1"/>
  <c r="F66" i="12" s="1"/>
  <c r="F64" i="12" a="1"/>
  <c r="F64" i="12" s="1"/>
  <c r="F62" i="12" a="1"/>
  <c r="F62" i="12" s="1"/>
  <c r="F60" i="12" a="1"/>
  <c r="F60" i="12" s="1"/>
  <c r="F58" i="12" a="1"/>
  <c r="F58" i="12" s="1"/>
  <c r="F56" i="12" a="1"/>
  <c r="F56" i="12" s="1"/>
  <c r="F54" i="12" a="1"/>
  <c r="F54" i="12" s="1"/>
  <c r="F52" i="12" a="1"/>
  <c r="F52" i="12" s="1"/>
  <c r="F50" i="12" a="1"/>
  <c r="F50" i="12" s="1"/>
  <c r="F48" i="12" a="1"/>
  <c r="F48" i="12" s="1"/>
  <c r="F46" i="12" a="1"/>
  <c r="F46" i="12" s="1"/>
  <c r="F44" i="12" a="1"/>
  <c r="F44" i="12" s="1"/>
  <c r="F42" i="12" a="1"/>
  <c r="F42" i="12" s="1"/>
  <c r="F40" i="12" a="1"/>
  <c r="F40" i="12" s="1"/>
  <c r="F38" i="12" a="1"/>
  <c r="F38" i="12" s="1"/>
  <c r="F36" i="12" a="1"/>
  <c r="F36" i="12" s="1"/>
  <c r="F34" i="12" a="1"/>
  <c r="F34" i="12" s="1"/>
  <c r="F32" i="12" a="1"/>
  <c r="F32" i="12" s="1"/>
  <c r="F30" i="12" a="1"/>
  <c r="F30" i="12" s="1"/>
  <c r="F28" i="12" a="1"/>
  <c r="F28" i="12" s="1"/>
  <c r="F26" i="12" a="1"/>
  <c r="F26" i="12" s="1"/>
  <c r="F24" i="12" a="1"/>
  <c r="F24" i="12" s="1"/>
  <c r="F22" i="12" a="1"/>
  <c r="F22" i="12" s="1"/>
  <c r="F20" i="12" a="1"/>
  <c r="F20" i="12" s="1"/>
  <c r="F18" i="12" a="1"/>
  <c r="F18" i="12" s="1"/>
  <c r="F16" i="12" a="1"/>
  <c r="F16" i="12" s="1"/>
  <c r="F14" i="12" a="1"/>
  <c r="F14" i="12" s="1"/>
  <c r="F12" i="12" a="1"/>
  <c r="F12" i="12" s="1"/>
  <c r="F10" i="12" a="1"/>
  <c r="F10" i="12" s="1"/>
  <c r="F8" i="12" a="1"/>
  <c r="F8" i="12" s="1"/>
  <c r="F6" i="12" a="1"/>
  <c r="F6" i="12" s="1"/>
  <c r="F4" i="12" a="1"/>
  <c r="F4" i="12" s="1"/>
  <c r="F2" i="12" a="1"/>
  <c r="F2" i="12" s="1"/>
  <c r="F44" i="11" a="1"/>
  <c r="F44" i="11" s="1"/>
  <c r="F42" i="11" a="1"/>
  <c r="F42" i="11" s="1"/>
  <c r="F40" i="11" a="1"/>
  <c r="F40" i="11" s="1"/>
  <c r="F38" i="11" a="1"/>
  <c r="F38" i="11" s="1"/>
  <c r="F35" i="11" a="1"/>
  <c r="F35" i="11" s="1"/>
  <c r="F32" i="11" a="1"/>
  <c r="F32" i="11" s="1"/>
  <c r="F30" i="11" a="1"/>
  <c r="F30" i="11" s="1"/>
  <c r="F28" i="11" a="1"/>
  <c r="F28" i="11" s="1"/>
  <c r="F26" i="11" a="1"/>
  <c r="F26" i="11" s="1"/>
  <c r="F24" i="11" a="1"/>
  <c r="F24" i="11" s="1"/>
  <c r="F22" i="11" a="1"/>
  <c r="F22" i="11" s="1"/>
  <c r="F20" i="11" a="1"/>
  <c r="F20" i="11" s="1"/>
  <c r="F18" i="11" a="1"/>
  <c r="F18" i="11" s="1"/>
  <c r="F16" i="11" a="1"/>
  <c r="F16" i="11" s="1"/>
  <c r="F14" i="11" a="1"/>
  <c r="F14" i="11" s="1"/>
  <c r="F12" i="11" a="1"/>
  <c r="F12" i="11" s="1"/>
  <c r="F10" i="11" a="1"/>
  <c r="F10" i="11" s="1"/>
  <c r="F8" i="11" a="1"/>
  <c r="F8" i="11" s="1"/>
  <c r="F6" i="11" a="1"/>
  <c r="F6" i="11" s="1"/>
  <c r="F4" i="11" a="1"/>
  <c r="F4" i="11" s="1"/>
  <c r="F2" i="11" a="1"/>
  <c r="F2" i="11" s="1"/>
  <c r="N6" i="10" a="1"/>
  <c r="N6" i="10" s="1"/>
  <c r="N2" i="10" a="1"/>
  <c r="N2" i="10" s="1"/>
  <c r="B5" i="6"/>
  <c r="B11" i="6"/>
  <c r="B10" i="6"/>
  <c r="B8" i="6"/>
  <c r="B7" i="6"/>
  <c r="B4" i="6"/>
  <c r="B6" i="6"/>
  <c r="F3" i="5" a="1"/>
  <c r="F3" i="5" s="1"/>
  <c r="G3" i="5" s="1"/>
  <c r="F4" i="5" a="1"/>
  <c r="F4" i="5" s="1"/>
  <c r="G4" i="5" s="1"/>
  <c r="F5" i="5" a="1"/>
  <c r="F5" i="5" s="1"/>
  <c r="G5" i="5" s="1"/>
  <c r="F6" i="5" a="1"/>
  <c r="F6" i="5" s="1"/>
  <c r="G6" i="5" s="1"/>
  <c r="F2" i="5" a="1"/>
  <c r="F2" i="5" s="1"/>
  <c r="G2" i="5" s="1"/>
  <c r="F8" i="4" a="1"/>
  <c r="F8" i="4" s="1"/>
  <c r="G8" i="4" s="1"/>
  <c r="F7" i="4" a="1"/>
  <c r="F7" i="4" s="1"/>
  <c r="G7" i="4" s="1"/>
  <c r="F5" i="4" a="1"/>
  <c r="F5" i="4" s="1"/>
  <c r="G5" i="4" s="1"/>
  <c r="F3" i="4" a="1"/>
  <c r="F3" i="4" s="1"/>
  <c r="G3" i="4" s="1"/>
  <c r="F6" i="4" a="1"/>
  <c r="F6" i="4" s="1"/>
  <c r="G6" i="4" s="1"/>
  <c r="F4" i="4" a="1"/>
  <c r="F4" i="4" s="1"/>
  <c r="G4" i="4" s="1"/>
  <c r="F2" i="4" a="1"/>
  <c r="F2" i="4" s="1"/>
  <c r="G2" i="4" s="1"/>
  <c r="F4" i="3" a="1"/>
  <c r="F4" i="3" s="1"/>
  <c r="G4" i="3" s="1"/>
  <c r="F3" i="3" a="1"/>
  <c r="F3" i="3" s="1"/>
  <c r="G3" i="3" s="1"/>
  <c r="F2" i="3" a="1"/>
  <c r="F2" i="3" s="1"/>
  <c r="G2" i="3" s="1"/>
  <c r="A1" i="6" a="1"/>
  <c r="F70" i="2" l="1"/>
  <c r="F71" i="2"/>
  <c r="F67" i="2"/>
  <c r="F68" i="2"/>
  <c r="F65" i="2"/>
  <c r="F64" i="2"/>
  <c r="G63" i="2" s="1"/>
  <c r="F61" i="2"/>
  <c r="F62" i="2"/>
  <c r="C10" i="6"/>
  <c r="C11" i="6"/>
  <c r="B12" i="6"/>
  <c r="A1" i="6"/>
  <c r="G60" i="2" l="1"/>
  <c r="G69" i="2"/>
  <c r="G66" i="2"/>
  <c r="O2" i="2"/>
  <c r="E40" i="2" s="1" a="1"/>
  <c r="E40" i="2" s="1"/>
  <c r="F40" i="2" s="1"/>
  <c r="G110" i="12"/>
  <c r="G112" i="12"/>
  <c r="G108" i="12"/>
  <c r="G106" i="12"/>
  <c r="G104" i="12"/>
  <c r="G102" i="12"/>
  <c r="G100" i="12"/>
  <c r="G90" i="12"/>
  <c r="G88" i="12"/>
  <c r="G92" i="12"/>
  <c r="G98" i="12"/>
  <c r="G96" i="12"/>
  <c r="G94" i="12"/>
  <c r="G86" i="12"/>
  <c r="G84" i="12"/>
  <c r="G82" i="12"/>
  <c r="G80" i="12"/>
  <c r="G78" i="12"/>
  <c r="G76" i="12"/>
  <c r="G74" i="12"/>
  <c r="G72" i="12"/>
  <c r="G70" i="12"/>
  <c r="G48" i="12"/>
  <c r="G40" i="12"/>
  <c r="G68" i="12"/>
  <c r="G66" i="12"/>
  <c r="G64" i="12"/>
  <c r="G62" i="12"/>
  <c r="G60" i="12"/>
  <c r="G58" i="12"/>
  <c r="G56" i="12"/>
  <c r="G54" i="12"/>
  <c r="G52" i="12"/>
  <c r="G50" i="12"/>
  <c r="G46" i="12"/>
  <c r="G44" i="12"/>
  <c r="G42" i="12"/>
  <c r="G38" i="12"/>
  <c r="G30" i="12"/>
  <c r="G24" i="12"/>
  <c r="G36" i="12"/>
  <c r="G34" i="12"/>
  <c r="G32" i="12"/>
  <c r="G28" i="12"/>
  <c r="G26" i="12"/>
  <c r="G20" i="12"/>
  <c r="G18" i="12"/>
  <c r="G16" i="12"/>
  <c r="G10" i="12"/>
  <c r="G8" i="12"/>
  <c r="G6" i="12"/>
  <c r="G2" i="12"/>
  <c r="G4" i="12"/>
  <c r="G22" i="12"/>
  <c r="G14" i="12"/>
  <c r="G12" i="12"/>
  <c r="G28" i="11"/>
  <c r="G26" i="11"/>
  <c r="G24" i="11"/>
  <c r="G44" i="11"/>
  <c r="G42" i="11"/>
  <c r="G40" i="11"/>
  <c r="G38" i="11"/>
  <c r="G35" i="11"/>
  <c r="G32" i="11"/>
  <c r="G30" i="11"/>
  <c r="G22" i="11"/>
  <c r="G20" i="11"/>
  <c r="G18" i="11"/>
  <c r="G16" i="11"/>
  <c r="G14" i="11"/>
  <c r="G12" i="11"/>
  <c r="G10" i="11"/>
  <c r="G8" i="11"/>
  <c r="G6" i="11"/>
  <c r="G4" i="11"/>
  <c r="G2" i="11"/>
  <c r="E35" i="1" a="1"/>
  <c r="E35" i="1" s="1"/>
  <c r="F35" i="1" s="1"/>
  <c r="E3" i="1" a="1"/>
  <c r="E3" i="1" s="1"/>
  <c r="F3" i="1" s="1"/>
  <c r="E4" i="1" a="1"/>
  <c r="E4" i="1" s="1"/>
  <c r="F4" i="1" s="1"/>
  <c r="E5" i="1" a="1"/>
  <c r="E5" i="1" s="1"/>
  <c r="F5" i="1" s="1"/>
  <c r="E6" i="1" a="1"/>
  <c r="E6" i="1" s="1"/>
  <c r="F6" i="1" s="1"/>
  <c r="E7" i="1" a="1"/>
  <c r="E7" i="1" s="1"/>
  <c r="F7" i="1" s="1"/>
  <c r="E8" i="1" a="1"/>
  <c r="E8" i="1" s="1"/>
  <c r="F8" i="1" s="1"/>
  <c r="E9" i="1" a="1"/>
  <c r="E9" i="1" s="1"/>
  <c r="F9" i="1" s="1"/>
  <c r="E10" i="1" a="1"/>
  <c r="E10" i="1" s="1"/>
  <c r="F10" i="1" s="1"/>
  <c r="E11" i="1" a="1"/>
  <c r="E11" i="1" s="1"/>
  <c r="F11" i="1" s="1"/>
  <c r="E12" i="1" a="1"/>
  <c r="E12" i="1" s="1"/>
  <c r="F12" i="1" s="1"/>
  <c r="E13" i="1" a="1"/>
  <c r="E13" i="1" s="1"/>
  <c r="F13" i="1" s="1"/>
  <c r="E14" i="1" a="1"/>
  <c r="E14" i="1" s="1"/>
  <c r="F14" i="1" s="1"/>
  <c r="E15" i="1" a="1"/>
  <c r="E15" i="1" s="1"/>
  <c r="F15" i="1" s="1"/>
  <c r="E16" i="1" a="1"/>
  <c r="E16" i="1" s="1"/>
  <c r="F16" i="1" s="1"/>
  <c r="E17" i="1" a="1"/>
  <c r="E17" i="1" s="1"/>
  <c r="F17" i="1" s="1"/>
  <c r="E18" i="1" a="1"/>
  <c r="E18" i="1" s="1"/>
  <c r="F18" i="1" s="1"/>
  <c r="E19" i="1" a="1"/>
  <c r="E19" i="1" s="1"/>
  <c r="F19" i="1" s="1"/>
  <c r="E20" i="1" a="1"/>
  <c r="E20" i="1" s="1"/>
  <c r="F20" i="1" s="1"/>
  <c r="E21" i="1" a="1"/>
  <c r="E21" i="1" s="1"/>
  <c r="F21" i="1" s="1"/>
  <c r="E22" i="1" a="1"/>
  <c r="E22" i="1" s="1"/>
  <c r="F22" i="1" s="1"/>
  <c r="E23" i="1" a="1"/>
  <c r="E23" i="1" s="1"/>
  <c r="F23" i="1" s="1"/>
  <c r="E24" i="1" a="1"/>
  <c r="E24" i="1" s="1"/>
  <c r="F24" i="1" s="1"/>
  <c r="E25" i="1" a="1"/>
  <c r="E25" i="1" s="1"/>
  <c r="F25" i="1" s="1"/>
  <c r="E26" i="1" a="1"/>
  <c r="E26" i="1" s="1"/>
  <c r="F26" i="1" s="1"/>
  <c r="E27" i="1" a="1"/>
  <c r="E27" i="1" s="1"/>
  <c r="F27" i="1" s="1"/>
  <c r="E28" i="1" a="1"/>
  <c r="E28" i="1" s="1"/>
  <c r="F28" i="1" s="1"/>
  <c r="E29" i="1" a="1"/>
  <c r="E29" i="1" s="1"/>
  <c r="F29" i="1" s="1"/>
  <c r="E30" i="1" a="1"/>
  <c r="E30" i="1" s="1"/>
  <c r="F30" i="1" s="1"/>
  <c r="E31" i="1" a="1"/>
  <c r="E31" i="1" s="1"/>
  <c r="F31" i="1" s="1"/>
  <c r="E32" i="1" a="1"/>
  <c r="E32" i="1" s="1"/>
  <c r="F32" i="1" s="1"/>
  <c r="E33" i="1" a="1"/>
  <c r="E33" i="1" s="1"/>
  <c r="F33" i="1" s="1"/>
  <c r="E34" i="1" a="1"/>
  <c r="E34" i="1" s="1"/>
  <c r="F34" i="1" s="1"/>
  <c r="J70" i="10" a="1"/>
  <c r="J70" i="10" s="1"/>
  <c r="I70" i="10"/>
  <c r="F70" i="10" a="1"/>
  <c r="F70" i="10" s="1"/>
  <c r="E70" i="10" a="1"/>
  <c r="E70" i="10" s="1"/>
  <c r="J69" i="10" a="1"/>
  <c r="J69" i="10" s="1"/>
  <c r="I69" i="10"/>
  <c r="F69" i="10" a="1"/>
  <c r="F69" i="10" s="1"/>
  <c r="E69" i="10" a="1"/>
  <c r="E69" i="10" s="1"/>
  <c r="E2" i="1" a="1"/>
  <c r="E2" i="1" s="1"/>
  <c r="F2" i="1" s="1"/>
  <c r="J29" i="10" a="1"/>
  <c r="J29" i="10" s="1"/>
  <c r="K29" i="10" s="1"/>
  <c r="F29" i="10" a="1"/>
  <c r="F29" i="10" s="1"/>
  <c r="G29" i="10" s="1"/>
  <c r="J27" i="10" a="1"/>
  <c r="J27" i="10" s="1"/>
  <c r="I27" i="10"/>
  <c r="F27" i="10" a="1"/>
  <c r="F27" i="10" s="1"/>
  <c r="G27" i="10" s="1"/>
  <c r="J25" i="10" a="1"/>
  <c r="J25" i="10" s="1"/>
  <c r="K25" i="10" s="1"/>
  <c r="F25" i="10" a="1"/>
  <c r="F25" i="10" s="1"/>
  <c r="G25" i="10" s="1"/>
  <c r="J24" i="10" a="1"/>
  <c r="J24" i="10" s="1"/>
  <c r="K24" i="10" s="1"/>
  <c r="F24" i="10" a="1"/>
  <c r="F24" i="10" s="1"/>
  <c r="G24" i="10" s="1"/>
  <c r="J23" i="10" a="1"/>
  <c r="J23" i="10" s="1"/>
  <c r="K23" i="10" s="1"/>
  <c r="F23" i="10" a="1"/>
  <c r="F23" i="10" s="1"/>
  <c r="G23" i="10" s="1"/>
  <c r="J21" i="10" a="1"/>
  <c r="J21" i="10" s="1"/>
  <c r="K21" i="10" s="1"/>
  <c r="F21" i="10" a="1"/>
  <c r="F21" i="10" s="1"/>
  <c r="G21" i="10" s="1"/>
  <c r="J17" i="10" a="1"/>
  <c r="J17" i="10" s="1"/>
  <c r="K17" i="10" s="1"/>
  <c r="F17" i="10" a="1"/>
  <c r="F17" i="10" s="1"/>
  <c r="G17" i="10" s="1"/>
  <c r="J15" i="10" a="1"/>
  <c r="J15" i="10" s="1"/>
  <c r="K15" i="10" s="1"/>
  <c r="F15" i="10" a="1"/>
  <c r="F15" i="10" s="1"/>
  <c r="G15" i="10" s="1"/>
  <c r="J13" i="10" a="1"/>
  <c r="J13" i="10" s="1"/>
  <c r="K13" i="10" s="1"/>
  <c r="F13" i="10" a="1"/>
  <c r="F13" i="10" s="1"/>
  <c r="G13" i="10" s="1"/>
  <c r="J19" i="10" a="1"/>
  <c r="J19" i="10" s="1"/>
  <c r="I19" i="10"/>
  <c r="F19" i="10" a="1"/>
  <c r="F19" i="10" s="1"/>
  <c r="G19" i="10" s="1"/>
  <c r="J16" i="10" a="1"/>
  <c r="J16" i="10" s="1"/>
  <c r="K16" i="10" s="1"/>
  <c r="F16" i="10" a="1"/>
  <c r="F16" i="10" s="1"/>
  <c r="G16" i="10" s="1"/>
  <c r="J11" i="10" a="1"/>
  <c r="J11" i="10" s="1"/>
  <c r="K11" i="10" s="1"/>
  <c r="J10" i="10" a="1"/>
  <c r="J10" i="10" s="1"/>
  <c r="K10" i="10" s="1"/>
  <c r="F11" i="10" a="1"/>
  <c r="F11" i="10" s="1"/>
  <c r="G11" i="10" s="1"/>
  <c r="F10" i="10" a="1"/>
  <c r="F10" i="10" s="1"/>
  <c r="G10" i="10" s="1"/>
  <c r="J5" i="10" a="1"/>
  <c r="J5" i="10" s="1"/>
  <c r="I5" i="10"/>
  <c r="F5" i="10" a="1"/>
  <c r="F5" i="10" s="1"/>
  <c r="G5" i="10" s="1"/>
  <c r="J9" i="10" a="1"/>
  <c r="J9" i="10" s="1"/>
  <c r="K9" i="10" s="1"/>
  <c r="F9" i="10" a="1"/>
  <c r="F9" i="10" s="1"/>
  <c r="G9" i="10" s="1"/>
  <c r="J7" i="10" a="1"/>
  <c r="J7" i="10" s="1"/>
  <c r="K7" i="10" s="1"/>
  <c r="F7" i="10" a="1"/>
  <c r="F7" i="10" s="1"/>
  <c r="G7" i="10" s="1"/>
  <c r="I3" i="10"/>
  <c r="J3" i="10" a="1"/>
  <c r="J3" i="10" s="1"/>
  <c r="F3" i="10" a="1"/>
  <c r="F3" i="10" s="1"/>
  <c r="G3" i="10" s="1"/>
  <c r="I64" i="10"/>
  <c r="J64" i="10" a="1"/>
  <c r="J64" i="10" s="1"/>
  <c r="I65" i="10"/>
  <c r="J65" i="10" a="1"/>
  <c r="J65" i="10" s="1"/>
  <c r="I66" i="10"/>
  <c r="J66" i="10" a="1"/>
  <c r="J66" i="10" s="1"/>
  <c r="I67" i="10"/>
  <c r="J67" i="10" a="1"/>
  <c r="J67" i="10" s="1"/>
  <c r="I68" i="10"/>
  <c r="J68" i="10" a="1"/>
  <c r="J68" i="10" s="1"/>
  <c r="F64" i="10" a="1"/>
  <c r="F64" i="10" s="1"/>
  <c r="G64" i="10" s="1"/>
  <c r="F65" i="10" a="1"/>
  <c r="F65" i="10" s="1"/>
  <c r="G65" i="10" s="1"/>
  <c r="F66" i="10" a="1"/>
  <c r="F66" i="10" s="1"/>
  <c r="G66" i="10" s="1"/>
  <c r="F67" i="10" a="1"/>
  <c r="F67" i="10" s="1"/>
  <c r="G67" i="10" s="1"/>
  <c r="F68" i="10" a="1"/>
  <c r="F68" i="10" s="1"/>
  <c r="G68" i="10" s="1"/>
  <c r="J62" i="10" a="1"/>
  <c r="J62" i="10" s="1"/>
  <c r="F62" i="10" a="1"/>
  <c r="F62" i="10" s="1"/>
  <c r="G62" i="10" s="1"/>
  <c r="I31" i="10"/>
  <c r="I30" i="10"/>
  <c r="I26" i="10"/>
  <c r="I18" i="10"/>
  <c r="I4" i="10"/>
  <c r="I2" i="10"/>
  <c r="I63" i="10"/>
  <c r="I61" i="10"/>
  <c r="J63" i="10" a="1"/>
  <c r="J63" i="10" s="1"/>
  <c r="J61" i="10" a="1"/>
  <c r="J61" i="10" s="1"/>
  <c r="J60" i="10" a="1"/>
  <c r="J60" i="10" s="1"/>
  <c r="K60" i="10" s="1"/>
  <c r="J59" i="10" a="1"/>
  <c r="J59" i="10" s="1"/>
  <c r="K59" i="10" s="1"/>
  <c r="J58" i="10" a="1"/>
  <c r="J58" i="10" s="1"/>
  <c r="K58" i="10" s="1"/>
  <c r="J57" i="10" a="1"/>
  <c r="J57" i="10" s="1"/>
  <c r="K57" i="10" s="1"/>
  <c r="J56" i="10" a="1"/>
  <c r="J56" i="10" s="1"/>
  <c r="K56" i="10" s="1"/>
  <c r="J55" i="10" a="1"/>
  <c r="J55" i="10" s="1"/>
  <c r="K55" i="10" s="1"/>
  <c r="J54" i="10" a="1"/>
  <c r="J54" i="10" s="1"/>
  <c r="K54" i="10" s="1"/>
  <c r="J53" i="10" a="1"/>
  <c r="J53" i="10" s="1"/>
  <c r="K53" i="10" s="1"/>
  <c r="J52" i="10" a="1"/>
  <c r="J52" i="10" s="1"/>
  <c r="K52" i="10" s="1"/>
  <c r="J51" i="10" a="1"/>
  <c r="J51" i="10" s="1"/>
  <c r="K51" i="10" s="1"/>
  <c r="J50" i="10" a="1"/>
  <c r="J50" i="10" s="1"/>
  <c r="K50" i="10" s="1"/>
  <c r="J49" i="10" a="1"/>
  <c r="J49" i="10" s="1"/>
  <c r="K49" i="10" s="1"/>
  <c r="J48" i="10" a="1"/>
  <c r="J48" i="10" s="1"/>
  <c r="K48" i="10" s="1"/>
  <c r="J47" i="10" a="1"/>
  <c r="J47" i="10" s="1"/>
  <c r="K47" i="10" s="1"/>
  <c r="J46" i="10" a="1"/>
  <c r="J46" i="10" s="1"/>
  <c r="K46" i="10" s="1"/>
  <c r="J45" i="10" a="1"/>
  <c r="J45" i="10" s="1"/>
  <c r="K45" i="10" s="1"/>
  <c r="J44" i="10" a="1"/>
  <c r="J44" i="10" s="1"/>
  <c r="K44" i="10" s="1"/>
  <c r="J43" i="10" a="1"/>
  <c r="J43" i="10" s="1"/>
  <c r="K43" i="10" s="1"/>
  <c r="J42" i="10" a="1"/>
  <c r="J42" i="10" s="1"/>
  <c r="K42" i="10" s="1"/>
  <c r="J41" i="10" a="1"/>
  <c r="J41" i="10" s="1"/>
  <c r="K41" i="10" s="1"/>
  <c r="J40" i="10" a="1"/>
  <c r="J40" i="10" s="1"/>
  <c r="K40" i="10" s="1"/>
  <c r="J39" i="10" a="1"/>
  <c r="J39" i="10" s="1"/>
  <c r="K39" i="10" s="1"/>
  <c r="J38" i="10" a="1"/>
  <c r="J38" i="10" s="1"/>
  <c r="K38" i="10" s="1"/>
  <c r="J37" i="10" a="1"/>
  <c r="J37" i="10" s="1"/>
  <c r="K37" i="10" s="1"/>
  <c r="J36" i="10" a="1"/>
  <c r="J36" i="10" s="1"/>
  <c r="K36" i="10" s="1"/>
  <c r="J35" i="10" a="1"/>
  <c r="J35" i="10" s="1"/>
  <c r="K35" i="10" s="1"/>
  <c r="J34" i="10" a="1"/>
  <c r="J34" i="10" s="1"/>
  <c r="K34" i="10" s="1"/>
  <c r="J33" i="10" a="1"/>
  <c r="J33" i="10" s="1"/>
  <c r="K33" i="10" s="1"/>
  <c r="J32" i="10" a="1"/>
  <c r="J32" i="10" s="1"/>
  <c r="K32" i="10" s="1"/>
  <c r="J31" i="10" a="1"/>
  <c r="J31" i="10" s="1"/>
  <c r="K31" i="10" s="1"/>
  <c r="J30" i="10" a="1"/>
  <c r="J30" i="10" s="1"/>
  <c r="K30" i="10" s="1"/>
  <c r="J28" i="10" a="1"/>
  <c r="J28" i="10" s="1"/>
  <c r="K28" i="10" s="1"/>
  <c r="J26" i="10" a="1"/>
  <c r="J26" i="10" s="1"/>
  <c r="K26" i="10" s="1"/>
  <c r="J22" i="10" a="1"/>
  <c r="J22" i="10" s="1"/>
  <c r="K22" i="10" s="1"/>
  <c r="J20" i="10" a="1"/>
  <c r="J20" i="10" s="1"/>
  <c r="K20" i="10" s="1"/>
  <c r="J18" i="10" a="1"/>
  <c r="J18" i="10" s="1"/>
  <c r="K18" i="10" s="1"/>
  <c r="J14" i="10" a="1"/>
  <c r="J14" i="10" s="1"/>
  <c r="K14" i="10" s="1"/>
  <c r="J12" i="10" a="1"/>
  <c r="J12" i="10" s="1"/>
  <c r="K12" i="10" s="1"/>
  <c r="J8" i="10" a="1"/>
  <c r="J8" i="10" s="1"/>
  <c r="K8" i="10" s="1"/>
  <c r="J6" i="10" a="1"/>
  <c r="J6" i="10" s="1"/>
  <c r="K6" i="10" s="1"/>
  <c r="J4" i="10" a="1"/>
  <c r="J4" i="10" s="1"/>
  <c r="K4" i="10" s="1"/>
  <c r="J2" i="10" a="1"/>
  <c r="J2" i="10" s="1"/>
  <c r="K2" i="10" s="1"/>
  <c r="F61" i="10" a="1"/>
  <c r="F61" i="10" s="1"/>
  <c r="G61" i="10" s="1"/>
  <c r="F63" i="10" a="1"/>
  <c r="F63" i="10" s="1"/>
  <c r="G63" i="10" s="1"/>
  <c r="F57" i="10" a="1"/>
  <c r="F57" i="10" s="1"/>
  <c r="G57" i="10" s="1"/>
  <c r="F58" i="10" a="1"/>
  <c r="F58" i="10" s="1"/>
  <c r="G58" i="10" s="1"/>
  <c r="F59" i="10" a="1"/>
  <c r="F59" i="10" s="1"/>
  <c r="G59" i="10" s="1"/>
  <c r="F60" i="10" a="1"/>
  <c r="F60" i="10" s="1"/>
  <c r="G60" i="10" s="1"/>
  <c r="F49" i="10" a="1"/>
  <c r="F49" i="10" s="1"/>
  <c r="G49" i="10" s="1"/>
  <c r="F50" i="10" a="1"/>
  <c r="F50" i="10" s="1"/>
  <c r="G50" i="10" s="1"/>
  <c r="F51" i="10" a="1"/>
  <c r="F51" i="10" s="1"/>
  <c r="G51" i="10" s="1"/>
  <c r="F52" i="10" a="1"/>
  <c r="F52" i="10" s="1"/>
  <c r="G52" i="10" s="1"/>
  <c r="F53" i="10" a="1"/>
  <c r="F53" i="10" s="1"/>
  <c r="G53" i="10" s="1"/>
  <c r="F54" i="10" a="1"/>
  <c r="F54" i="10" s="1"/>
  <c r="G54" i="10" s="1"/>
  <c r="F55" i="10" a="1"/>
  <c r="F55" i="10" s="1"/>
  <c r="G55" i="10" s="1"/>
  <c r="F56" i="10" a="1"/>
  <c r="F56" i="10" s="1"/>
  <c r="G56" i="10" s="1"/>
  <c r="F48" i="10" a="1"/>
  <c r="F48" i="10" s="1"/>
  <c r="G48" i="10" s="1"/>
  <c r="F40" i="10" a="1"/>
  <c r="F40" i="10" s="1"/>
  <c r="G40" i="10" s="1"/>
  <c r="F41" i="10" a="1"/>
  <c r="F41" i="10" s="1"/>
  <c r="G41" i="10" s="1"/>
  <c r="F42" i="10" a="1"/>
  <c r="F42" i="10" s="1"/>
  <c r="G42" i="10" s="1"/>
  <c r="F43" i="10" a="1"/>
  <c r="F43" i="10" s="1"/>
  <c r="G43" i="10" s="1"/>
  <c r="F44" i="10" a="1"/>
  <c r="F44" i="10" s="1"/>
  <c r="G44" i="10" s="1"/>
  <c r="F45" i="10" a="1"/>
  <c r="F45" i="10" s="1"/>
  <c r="G45" i="10" s="1"/>
  <c r="F46" i="10" a="1"/>
  <c r="F46" i="10" s="1"/>
  <c r="G46" i="10" s="1"/>
  <c r="F47" i="10" a="1"/>
  <c r="F47" i="10" s="1"/>
  <c r="G47" i="10" s="1"/>
  <c r="F30" i="10" a="1"/>
  <c r="F30" i="10" s="1"/>
  <c r="G30" i="10" s="1"/>
  <c r="F31" i="10" a="1"/>
  <c r="F31" i="10" s="1"/>
  <c r="G31" i="10" s="1"/>
  <c r="F32" i="10" a="1"/>
  <c r="F32" i="10" s="1"/>
  <c r="G32" i="10" s="1"/>
  <c r="F33" i="10" a="1"/>
  <c r="F33" i="10" s="1"/>
  <c r="G33" i="10" s="1"/>
  <c r="F34" i="10" a="1"/>
  <c r="F34" i="10" s="1"/>
  <c r="G34" i="10" s="1"/>
  <c r="F35" i="10" a="1"/>
  <c r="F35" i="10" s="1"/>
  <c r="G35" i="10" s="1"/>
  <c r="F36" i="10" a="1"/>
  <c r="F36" i="10" s="1"/>
  <c r="G36" i="10" s="1"/>
  <c r="F37" i="10" a="1"/>
  <c r="F37" i="10" s="1"/>
  <c r="G37" i="10" s="1"/>
  <c r="F38" i="10" a="1"/>
  <c r="F38" i="10" s="1"/>
  <c r="G38" i="10" s="1"/>
  <c r="F39" i="10" a="1"/>
  <c r="F39" i="10" s="1"/>
  <c r="G39" i="10" s="1"/>
  <c r="F28" i="10" a="1"/>
  <c r="F28" i="10" s="1"/>
  <c r="G28" i="10" s="1"/>
  <c r="F26" i="10" a="1"/>
  <c r="F26" i="10" s="1"/>
  <c r="G26" i="10" s="1"/>
  <c r="F18" i="10" a="1"/>
  <c r="F18" i="10" s="1"/>
  <c r="G18" i="10" s="1"/>
  <c r="F20" i="10" a="1"/>
  <c r="F20" i="10" s="1"/>
  <c r="G20" i="10" s="1"/>
  <c r="F22" i="10" a="1"/>
  <c r="F22" i="10" s="1"/>
  <c r="G22" i="10" s="1"/>
  <c r="F4" i="10" a="1"/>
  <c r="F4" i="10" s="1"/>
  <c r="G4" i="10" s="1"/>
  <c r="F6" i="10" a="1"/>
  <c r="F6" i="10" s="1"/>
  <c r="G6" i="10" s="1"/>
  <c r="F8" i="10" a="1"/>
  <c r="F8" i="10" s="1"/>
  <c r="G8" i="10" s="1"/>
  <c r="F12" i="10" a="1"/>
  <c r="F12" i="10" s="1"/>
  <c r="G12" i="10" s="1"/>
  <c r="F14" i="10" a="1"/>
  <c r="F14" i="10" s="1"/>
  <c r="G14" i="10" s="1"/>
  <c r="F2" i="10" a="1"/>
  <c r="F2" i="10" s="1"/>
  <c r="G2" i="10" s="1"/>
  <c r="C7" i="5"/>
  <c r="F7" i="5" s="1" a="1"/>
  <c r="F7" i="5" s="1"/>
  <c r="G7" i="5" s="1"/>
  <c r="C5" i="6" s="1"/>
  <c r="G2" i="2"/>
  <c r="E26" i="2" s="1" a="1"/>
  <c r="E26" i="2" s="1"/>
  <c r="F26" i="2" s="1"/>
  <c r="K3" i="10" l="1"/>
  <c r="C4" i="6"/>
  <c r="C7" i="6"/>
  <c r="C8" i="6"/>
  <c r="E33" i="2" a="1"/>
  <c r="E33" i="2" s="1"/>
  <c r="F33" i="2" s="1"/>
  <c r="E56" i="2" a="1"/>
  <c r="E55" i="2" a="1"/>
  <c r="E55" i="2" s="1"/>
  <c r="F55" i="2" s="1"/>
  <c r="G55" i="2" s="1"/>
  <c r="E12" i="2" a="1"/>
  <c r="E12" i="2" s="1"/>
  <c r="F12" i="2" s="1"/>
  <c r="E19" i="2" a="1"/>
  <c r="E19" i="2" s="1"/>
  <c r="F19" i="2" s="1"/>
  <c r="E48" i="2" a="1"/>
  <c r="E47" i="2" a="1"/>
  <c r="E47" i="2" s="1"/>
  <c r="F47" i="2" s="1"/>
  <c r="G47" i="2" s="1"/>
  <c r="F30" i="2"/>
  <c r="F29" i="2"/>
  <c r="F32" i="2"/>
  <c r="F31" i="2"/>
  <c r="F28" i="2"/>
  <c r="F41" i="2"/>
  <c r="F27" i="2"/>
  <c r="F42" i="2"/>
  <c r="F43" i="2"/>
  <c r="F44" i="2"/>
  <c r="F45" i="2"/>
  <c r="F46" i="2"/>
  <c r="G69" i="10"/>
  <c r="G70" i="10"/>
  <c r="K70" i="10"/>
  <c r="K69" i="10"/>
  <c r="K27" i="10"/>
  <c r="K19" i="10"/>
  <c r="K68" i="10"/>
  <c r="K66" i="10"/>
  <c r="K5" i="10"/>
  <c r="K61" i="10"/>
  <c r="K63" i="10"/>
  <c r="K67" i="10"/>
  <c r="K65" i="10"/>
  <c r="K64" i="10"/>
  <c r="K62" i="10"/>
  <c r="C6" i="6" l="1"/>
  <c r="G40" i="2"/>
  <c r="G26" i="2"/>
  <c r="F22" i="2"/>
  <c r="F37" i="2"/>
  <c r="F21" i="2"/>
  <c r="F38" i="2"/>
  <c r="E48" i="2"/>
  <c r="F48" i="2" s="1"/>
  <c r="F52" i="2"/>
  <c r="F49" i="2"/>
  <c r="F51" i="2"/>
  <c r="F54" i="2"/>
  <c r="F50" i="2"/>
  <c r="F53" i="2"/>
  <c r="E56" i="2"/>
  <c r="F56" i="2" s="1"/>
  <c r="F59" i="2"/>
  <c r="F58" i="2"/>
  <c r="F57" i="2"/>
  <c r="F23" i="2"/>
  <c r="F24" i="2"/>
  <c r="F35" i="2"/>
  <c r="F36" i="2"/>
  <c r="F13" i="2"/>
  <c r="F25" i="2"/>
  <c r="F39" i="2"/>
  <c r="F14" i="2"/>
  <c r="F34" i="2"/>
  <c r="F15" i="2"/>
  <c r="F16" i="2"/>
  <c r="F18" i="2"/>
  <c r="F17" i="2"/>
  <c r="F20" i="2"/>
  <c r="G33" i="2" l="1"/>
  <c r="G19" i="2"/>
  <c r="G12" i="2"/>
  <c r="G48" i="2"/>
  <c r="G56" i="2"/>
  <c r="C9" i="6" l="1"/>
  <c r="C12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<sst xmlns="http://schemas.openxmlformats.org/spreadsheetml/2006/main" count="666" uniqueCount="273">
  <si>
    <t>TINYINT</t>
  </si>
  <si>
    <t>UTINYINT</t>
  </si>
  <si>
    <t>SMALLINT</t>
  </si>
  <si>
    <t>USMALLINT</t>
  </si>
  <si>
    <t>INTEGER</t>
  </si>
  <si>
    <t>UINTEGER</t>
  </si>
  <si>
    <t>select true</t>
  </si>
  <si>
    <t>BOOLEAN</t>
  </si>
  <si>
    <t>VARCHAR</t>
  </si>
  <si>
    <t>select 'abc'</t>
  </si>
  <si>
    <t>FLOAT</t>
  </si>
  <si>
    <t>select 1.2::float</t>
  </si>
  <si>
    <t>DOUBLE</t>
  </si>
  <si>
    <t>select 1.2::double</t>
  </si>
  <si>
    <t>BIGINT</t>
  </si>
  <si>
    <t>UBIGINT</t>
  </si>
  <si>
    <t>HUGEINT</t>
  </si>
  <si>
    <t>UHUGEINT</t>
  </si>
  <si>
    <t>SMALLINT BASED DECIMAL</t>
  </si>
  <si>
    <t>select 1.2::decimal(4, 2)</t>
  </si>
  <si>
    <t>INTEGER BASED DECIMAL</t>
  </si>
  <si>
    <t>select 1.2::decimal(9, 2)</t>
  </si>
  <si>
    <t>BIGINT BASED DECIMAL</t>
  </si>
  <si>
    <t>select 1.2::decimal(18, 2)</t>
  </si>
  <si>
    <t>HUGEINT BASED DECIMAL</t>
  </si>
  <si>
    <t>select 1.2::decimal(38, 2)</t>
  </si>
  <si>
    <t>DATE</t>
  </si>
  <si>
    <t>select '2026-12-31'::date</t>
  </si>
  <si>
    <t>TIME</t>
  </si>
  <si>
    <t>select '09:30:45'::time</t>
  </si>
  <si>
    <t>TIME WITH TIME ZONE</t>
  </si>
  <si>
    <t>select '09:30:45+07:00'::time with time zone</t>
  </si>
  <si>
    <t>TIMESTAMP</t>
  </si>
  <si>
    <t>select '2026-12-31 09:30:45'::timestamp</t>
  </si>
  <si>
    <t>TIMESTAMP WITH TIME ZONE</t>
  </si>
  <si>
    <t>select '2026-12-31 09:30:45+07:00'::timestamp with time zone</t>
  </si>
  <si>
    <t>TIMESTAMP_S</t>
  </si>
  <si>
    <t>select '2026-12-31 09:30:45'::timestamp_s</t>
  </si>
  <si>
    <t>TIMESTAMP_MS</t>
  </si>
  <si>
    <t>select '2026-12-31 09:30:45'::timestamp_ms</t>
  </si>
  <si>
    <t>TIMESTAMP_NS</t>
  </si>
  <si>
    <t>select '2026-12-31 09:30:45'::timestamp_ns</t>
  </si>
  <si>
    <t>NULL</t>
  </si>
  <si>
    <t>select null</t>
  </si>
  <si>
    <t>OTHER TYPES</t>
  </si>
  <si>
    <t>abc</t>
  </si>
  <si>
    <t>create macro test_macro(x) as x;</t>
  </si>
  <si>
    <t>select test_macro(1);</t>
  </si>
  <si>
    <t>select ?</t>
  </si>
  <si>
    <t>EMPTY</t>
  </si>
  <si>
    <t>ERROR</t>
  </si>
  <si>
    <t>select array_value(1, 2, 3) as my_column;</t>
  </si>
  <si>
    <t>select 1;</t>
  </si>
  <si>
    <t>DUCKDB.EXEC.ASYNC</t>
  </si>
  <si>
    <t>DUCKDB.EXECX</t>
  </si>
  <si>
    <t>DUCKDB.EXECX.ASYNC</t>
  </si>
  <si>
    <t>TEST DATA 1</t>
  </si>
  <si>
    <t>TEST DATA 2</t>
  </si>
  <si>
    <t>DUCKDB.EXECA</t>
  </si>
  <si>
    <t>DUCKDB.EXECA.ASYNC</t>
  </si>
  <si>
    <t>DUCKDB.EXECAX.ASYNC</t>
  </si>
  <si>
    <t>DUCKDB.EXECAX</t>
  </si>
  <si>
    <t>1</t>
  </si>
  <si>
    <t>1.0</t>
  </si>
  <si>
    <t xml:space="preserve">   1    </t>
  </si>
  <si>
    <t xml:space="preserve">      1.0   </t>
  </si>
  <si>
    <t>Test case</t>
  </si>
  <si>
    <t>1.2</t>
  </si>
  <si>
    <t xml:space="preserve">      1.2   </t>
  </si>
  <si>
    <t xml:space="preserve">     2147483648     </t>
  </si>
  <si>
    <t>TRUE</t>
  </si>
  <si>
    <t>FALSE</t>
  </si>
  <si>
    <t>true</t>
  </si>
  <si>
    <t>false</t>
  </si>
  <si>
    <t>ON</t>
  </si>
  <si>
    <t>OFF</t>
  </si>
  <si>
    <t>T</t>
  </si>
  <si>
    <t>F</t>
  </si>
  <si>
    <t>t</t>
  </si>
  <si>
    <t>f</t>
  </si>
  <si>
    <t xml:space="preserve">   TRUE   </t>
  </si>
  <si>
    <t xml:space="preserve">   FALSE   </t>
  </si>
  <si>
    <t xml:space="preserve">   true   </t>
  </si>
  <si>
    <t xml:space="preserve">   false   </t>
  </si>
  <si>
    <t xml:space="preserve">   T   </t>
  </si>
  <si>
    <t xml:space="preserve">   F   </t>
  </si>
  <si>
    <t xml:space="preserve">   t   </t>
  </si>
  <si>
    <t xml:space="preserve">   f   </t>
  </si>
  <si>
    <t>null</t>
  </si>
  <si>
    <t>N/A</t>
  </si>
  <si>
    <t>n/a</t>
  </si>
  <si>
    <t xml:space="preserve">       NULL          </t>
  </si>
  <si>
    <t xml:space="preserve">       null          </t>
  </si>
  <si>
    <t xml:space="preserve">       N/A          </t>
  </si>
  <si>
    <t xml:space="preserve">       n/a          </t>
  </si>
  <si>
    <t xml:space="preserve">    abc    </t>
  </si>
  <si>
    <t>Expected Value</t>
  </si>
  <si>
    <t>Actual Value</t>
  </si>
  <si>
    <t>Value Test Result</t>
  </si>
  <si>
    <t>Value Test SQL</t>
  </si>
  <si>
    <t>Expected Inferred Type</t>
  </si>
  <si>
    <t>Actual Inferred Type</t>
  </si>
  <si>
    <t>Inferred Type Test Result</t>
  </si>
  <si>
    <t>Inferred Type Test SQL</t>
  </si>
  <si>
    <t>Integer</t>
  </si>
  <si>
    <t>Integer stored as text</t>
  </si>
  <si>
    <t>Integer stored as text with leading and trailing space</t>
  </si>
  <si>
    <t>Double</t>
  </si>
  <si>
    <t>Double stored as text</t>
  </si>
  <si>
    <t>Double stored as text with leading and trailing space</t>
  </si>
  <si>
    <t>True/false</t>
  </si>
  <si>
    <t>True/false in text</t>
  </si>
  <si>
    <t>True/false in text with leading and trailing space</t>
  </si>
  <si>
    <t>Empty/ NULL</t>
  </si>
  <si>
    <t>Empty/ NULL as text</t>
  </si>
  <si>
    <t>Empty/ NULL as text with leading and trailing space</t>
  </si>
  <si>
    <t>Error</t>
  </si>
  <si>
    <t>Text</t>
  </si>
  <si>
    <t>Text with leading and trailing space</t>
  </si>
  <si>
    <t>Number over INT32 limit</t>
  </si>
  <si>
    <t>Number over INT32 limit with leading and trailing space</t>
  </si>
  <si>
    <t>Text (all space)</t>
  </si>
  <si>
    <t xml:space="preserve">       </t>
  </si>
  <si>
    <t>Test Case</t>
  </si>
  <si>
    <t>Excel Value</t>
  </si>
  <si>
    <t>NA</t>
  </si>
  <si>
    <t>NONE</t>
  </si>
  <si>
    <t>NIL</t>
  </si>
  <si>
    <t>INF</t>
  </si>
  <si>
    <t>NaN</t>
  </si>
  <si>
    <t>-1</t>
  </si>
  <si>
    <t>-1.0</t>
  </si>
  <si>
    <t>1e1</t>
  </si>
  <si>
    <t>-1e1</t>
  </si>
  <si>
    <t xml:space="preserve">   1e1    </t>
  </si>
  <si>
    <t xml:space="preserve">   -1    </t>
  </si>
  <si>
    <t xml:space="preserve">      -1.0   </t>
  </si>
  <si>
    <t xml:space="preserve">   -1e1    </t>
  </si>
  <si>
    <t>-1.2</t>
  </si>
  <si>
    <t xml:space="preserve">      -1.2   </t>
  </si>
  <si>
    <t xml:space="preserve">      1.2e-2   </t>
  </si>
  <si>
    <t xml:space="preserve">      -1.2e-2   </t>
  </si>
  <si>
    <t xml:space="preserve">     -2147483649     </t>
  </si>
  <si>
    <t>SQL</t>
  </si>
  <si>
    <t>Testcase</t>
  </si>
  <si>
    <t>Actual Result</t>
  </si>
  <si>
    <t>Expected Result</t>
  </si>
  <si>
    <t>select false</t>
  </si>
  <si>
    <t>select 127::tinyint</t>
  </si>
  <si>
    <t>select (-128)::tinyint</t>
  </si>
  <si>
    <t>select 255::utinyint</t>
  </si>
  <si>
    <t>select 32767::smallint</t>
  </si>
  <si>
    <t>select (-32768)::smallint</t>
  </si>
  <si>
    <t>select 2147483647::integer</t>
  </si>
  <si>
    <t>select (-2147483648)::integer</t>
  </si>
  <si>
    <t>select 65535::usmallint</t>
  </si>
  <si>
    <t>select 4294967295::uinteger</t>
  </si>
  <si>
    <t>select 18446744073709551615::ubigint</t>
  </si>
  <si>
    <t>select 9223372036854775807::bigint</t>
  </si>
  <si>
    <t>select (-9223372036854775808)::bigint</t>
  </si>
  <si>
    <t>Test result</t>
  </si>
  <si>
    <t>select column_type from (describe (from xlrange(1, header=false, sample=1))) where column_name = 'column_1';</t>
  </si>
  <si>
    <t>select column_1 from xlrange(1, header=false, sample=1)</t>
  </si>
  <si>
    <t>Boolean</t>
  </si>
  <si>
    <t>Varchar</t>
  </si>
  <si>
    <t>select 9223372036854775807::hugeint</t>
  </si>
  <si>
    <t>select (-9223372036854775808)::hugeint</t>
  </si>
  <si>
    <t>select 18446744073709551615::uhugeint</t>
  </si>
  <si>
    <t>Integer -&gt; Double</t>
  </si>
  <si>
    <t>Integer -&gt; Varchar</t>
  </si>
  <si>
    <t>Integer -&gt; Double -&gt; Varchar</t>
  </si>
  <si>
    <t>Double -&gt; Varchar</t>
  </si>
  <si>
    <t>Test Result</t>
  </si>
  <si>
    <t>no</t>
  </si>
  <si>
    <t>Invalid Input Error</t>
  </si>
  <si>
    <t>Expect Result</t>
  </si>
  <si>
    <t>Excel Values</t>
  </si>
  <si>
    <t>1.2e-1</t>
  </si>
  <si>
    <t>YES</t>
  </si>
  <si>
    <t>To integer</t>
  </si>
  <si>
    <t xml:space="preserve">       1e1  </t>
  </si>
  <si>
    <t xml:space="preserve">                  1.2e-1 </t>
  </si>
  <si>
    <t xml:space="preserve">           no </t>
  </si>
  <si>
    <t>To double</t>
  </si>
  <si>
    <t>3.4</t>
  </si>
  <si>
    <t>1e-1</t>
  </si>
  <si>
    <t xml:space="preserve">       1e-1  </t>
  </si>
  <si>
    <t>To boolean</t>
  </si>
  <si>
    <t>yes</t>
  </si>
  <si>
    <t>2</t>
  </si>
  <si>
    <t>1e0</t>
  </si>
  <si>
    <t xml:space="preserve">        1e0   </t>
  </si>
  <si>
    <t>2.0</t>
  </si>
  <si>
    <t>2e0</t>
  </si>
  <si>
    <t xml:space="preserve">    2e0    </t>
  </si>
  <si>
    <t>To varchar</t>
  </si>
  <si>
    <t>def</t>
  </si>
  <si>
    <t>column_0</t>
  </si>
  <si>
    <t>c1</t>
  </si>
  <si>
    <t>c2</t>
  </si>
  <si>
    <t>c3</t>
  </si>
  <si>
    <t>c4</t>
  </si>
  <si>
    <t>c5</t>
  </si>
  <si>
    <t>c6</t>
  </si>
  <si>
    <t>select column_type from (describe (from xlrange(1, sample=1)))</t>
  </si>
  <si>
    <t>column_type</t>
  </si>
  <si>
    <t>select column_type from (describe (from xlrange(1, sample=2)))</t>
  </si>
  <si>
    <t>select column_type from (describe (from xlrange(1, sample=0)))</t>
  </si>
  <si>
    <t>select column_type from (describe (from xlrange(1, all_varchar=true)))</t>
  </si>
  <si>
    <t>select column_name from (describe (from xlrange(1, sample=1)))</t>
  </si>
  <si>
    <t>select column_name from (describe (from xlrange(1, sample=1, header=false)))</t>
  </si>
  <si>
    <t>column_1</t>
  </si>
  <si>
    <t>column_2</t>
  </si>
  <si>
    <t>column_3</t>
  </si>
  <si>
    <t>column_4</t>
  </si>
  <si>
    <t>column_5</t>
  </si>
  <si>
    <t>column_name</t>
  </si>
  <si>
    <t>c</t>
  </si>
  <si>
    <t>a</t>
  </si>
  <si>
    <t>b</t>
  </si>
  <si>
    <t>Binder Error</t>
  </si>
  <si>
    <t>select column_name from (describe (from xlrange(1, sample=1, strict=false)))</t>
  </si>
  <si>
    <t>a_1</t>
  </si>
  <si>
    <t>unnamed_0</t>
  </si>
  <si>
    <t>unnamed_1</t>
  </si>
  <si>
    <t>from xlrange(1, sample=1)</t>
  </si>
  <si>
    <t>select c1 from xlrange(1, sample=1, ignore_errors=true)</t>
  </si>
  <si>
    <t>Date</t>
  </si>
  <si>
    <t>Time</t>
  </si>
  <si>
    <t>Date and time</t>
  </si>
  <si>
    <t>select xldate(?) + interval 6 month</t>
  </si>
  <si>
    <t>select xltime(?) - interval 10 minutes</t>
  </si>
  <si>
    <t>select xldatetime(?) + interval 7 days</t>
  </si>
  <si>
    <t>select column_type from (describe (from xlrange(1, header=false, sample=0)));</t>
  </si>
  <si>
    <t>select * from xlrange(1, header=false, sample=1)</t>
  </si>
  <si>
    <t>Initialization SQL</t>
  </si>
  <si>
    <t>Main SQL</t>
  </si>
  <si>
    <t>NUMBER</t>
  </si>
  <si>
    <t>Test</t>
  </si>
  <si>
    <t>VALUES</t>
  </si>
  <si>
    <t>Number of Test Cases</t>
  </si>
  <si>
    <t>Passed</t>
  </si>
  <si>
    <t>INFERENCE_1</t>
  </si>
  <si>
    <t>ID</t>
  </si>
  <si>
    <t>CONVERT</t>
  </si>
  <si>
    <t>XLRANGE OPTIONS</t>
  </si>
  <si>
    <t>Test Result Detail</t>
  </si>
  <si>
    <t>SCALAR FUNCTIONS</t>
  </si>
  <si>
    <t>EXECX-A-AX-ASYNC</t>
  </si>
  <si>
    <t>PARAMETER BINDING</t>
  </si>
  <si>
    <t>Total</t>
  </si>
  <si>
    <t>INFERENCE_2</t>
  </si>
  <si>
    <t>***Press Ctrl + Alt + F9 to recalculate***</t>
  </si>
  <si>
    <t>TEST DATA 3</t>
  </si>
  <si>
    <t>TEST DATA 1
sample = 1</t>
  </si>
  <si>
    <t>TEST DATA 1
sample = 2</t>
  </si>
  <si>
    <t>TEST DATA 1
sample = 0</t>
  </si>
  <si>
    <t>TEST DATA 1
all_varchar=true</t>
  </si>
  <si>
    <t>TEST DATA 2
header=false</t>
  </si>
  <si>
    <t>TEST DATA 2
strict=true</t>
  </si>
  <si>
    <t>TEST DATA 2
strict=false</t>
  </si>
  <si>
    <t>TEST DATA 1
ignore_errors=false</t>
  </si>
  <si>
    <t>TEST DATA 1
ignore_errors=true</t>
  </si>
  <si>
    <t>0001</t>
  </si>
  <si>
    <t>select c1 from xlrange(1, columns={'c1': 'integer'})</t>
  </si>
  <si>
    <t>select c2 from xlrange(1, columns={'c2': 'double'})</t>
  </si>
  <si>
    <t>00001.2</t>
  </si>
  <si>
    <t>select c1 from xlrange(1, columns={'c1': 'boolean'})</t>
  </si>
  <si>
    <t>select c1 from xlrange(1, columns={'c1': 'varchar'})</t>
  </si>
  <si>
    <t>TEST DATA 3
columns={'c1': 'integer'}</t>
  </si>
  <si>
    <t>TEST DATA 3
columns={'c2': 'double'}</t>
  </si>
  <si>
    <t>TEST DATA 3
columns={'c1': 'boolean'}</t>
  </si>
  <si>
    <t>TEST DATA 3
columns={'c1': 'varchar'}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</si>
</sst>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hh:mm:ss"/>
    <numFmt numFmtId="165" formatCode="0.0"/>
    <numFmt numFmtId="166" formatCode="h:mm:ss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onsolas"/>
      <family val="3"/>
    </font>
    <font>
      <b/>
      <sz val="11"/>
      <color theme="1"/>
      <name val="Consolas"/>
      <family val="3"/>
    </font>
    <font>
      <b/>
      <sz val="11"/>
      <name val="Consolas"/>
      <family val="3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0" applyNumberFormat="1" applyBorder="1"/>
    <xf numFmtId="49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1" xfId="0" applyFont="1" applyBorder="1"/>
    <xf numFmtId="0" fontId="1" fillId="0" borderId="1" xfId="0" applyFont="1" applyBorder="1"/>
    <xf numFmtId="14" fontId="4" fillId="0" borderId="1" xfId="0" applyNumberFormat="1" applyFont="1" applyBorder="1"/>
    <xf numFmtId="14" fontId="1" fillId="0" borderId="1" xfId="0" applyNumberFormat="1" applyFont="1" applyBorder="1"/>
    <xf numFmtId="166" fontId="4" fillId="0" borderId="1" xfId="0" applyNumberFormat="1" applyFont="1" applyBorder="1"/>
    <xf numFmtId="166" fontId="1" fillId="0" borderId="1" xfId="0" applyNumberFormat="1" applyFont="1" applyBorder="1"/>
    <xf numFmtId="164" fontId="4" fillId="0" borderId="1" xfId="0" applyNumberFormat="1" applyFont="1" applyBorder="1"/>
    <xf numFmtId="164" fontId="1" fillId="0" borderId="1" xfId="0" applyNumberFormat="1" applyFont="1" applyBorder="1"/>
    <xf numFmtId="1" fontId="0" fillId="0" borderId="1" xfId="0" applyNumberFormat="1" applyBorder="1"/>
    <xf numFmtId="0" fontId="3" fillId="0" borderId="3" xfId="0" applyFont="1" applyFill="1" applyBorder="1" applyAlignment="1">
      <alignment horizontal="center"/>
    </xf>
    <xf numFmtId="0" fontId="0" fillId="0" borderId="1" xfId="0" applyNumberFormat="1" applyBorder="1"/>
    <xf numFmtId="0" fontId="0" fillId="0" borderId="0" xfId="0" applyNumberFormat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horizontal="left"/>
    </xf>
    <xf numFmtId="0" fontId="0" fillId="0" borderId="1" xfId="0" applyNumberFormat="1" applyBorder="1" applyAlignment="1">
      <alignment horizontal="left"/>
    </xf>
    <xf numFmtId="0" fontId="3" fillId="0" borderId="1" xfId="0" applyFont="1" applyFill="1" applyBorder="1" applyAlignment="1">
      <alignment horizontal="center"/>
    </xf>
    <xf numFmtId="0" fontId="0" fillId="0" borderId="1" xfId="0" applyNumberFormat="1" applyBorder="1" applyAlignment="1">
      <alignment vertical="center" wrapText="1"/>
    </xf>
    <xf numFmtId="0" fontId="0" fillId="0" borderId="1" xfId="0" applyNumberFormat="1" applyBorder="1" applyAlignment="1">
      <alignment vertical="center"/>
    </xf>
    <xf numFmtId="0" fontId="3" fillId="0" borderId="0" xfId="0" applyFont="1" applyBorder="1" applyAlignment="1">
      <alignment horizontal="center"/>
    </xf>
    <xf numFmtId="0" fontId="0" fillId="0" borderId="0" xfId="0" applyBorder="1"/>
    <xf numFmtId="0" fontId="3" fillId="0" borderId="0" xfId="0" applyFont="1"/>
    <xf numFmtId="0" fontId="0" fillId="0" borderId="1" xfId="0" applyNumberFormat="1" applyFill="1" applyBorder="1" applyAlignment="1">
      <alignment vertical="center" wrapText="1"/>
    </xf>
    <xf numFmtId="0" fontId="0" fillId="0" borderId="1" xfId="0" applyBorder="1" applyAlignment="1">
      <alignment wrapText="1"/>
    </xf>
    <xf numFmtId="0" fontId="3" fillId="0" borderId="0" xfId="0" applyFont="1" applyAlignment="1">
      <alignment horizontal="center"/>
    </xf>
    <xf numFmtId="14" fontId="0" fillId="0" borderId="1" xfId="0" applyNumberFormat="1" applyBorder="1"/>
    <xf numFmtId="21" fontId="0" fillId="0" borderId="1" xfId="0" applyNumberFormat="1" applyBorder="1"/>
    <xf numFmtId="0" fontId="8" fillId="0" borderId="1" xfId="0" applyFont="1" applyBorder="1" applyAlignment="1">
      <alignment horizontal="center"/>
    </xf>
    <xf numFmtId="0" fontId="7" fillId="0" borderId="1" xfId="0" applyFont="1" applyBorder="1"/>
    <xf numFmtId="0" fontId="3" fillId="0" borderId="1" xfId="0" applyNumberFormat="1" applyFont="1" applyBorder="1" applyAlignment="1">
      <alignment vertical="center" wrapText="1"/>
    </xf>
    <xf numFmtId="0" fontId="3" fillId="0" borderId="1" xfId="0" applyNumberFormat="1" applyFont="1" applyBorder="1" applyAlignment="1">
      <alignment vertical="center"/>
    </xf>
    <xf numFmtId="0" fontId="0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9" fillId="0" borderId="0" xfId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NumberFormat="1" applyBorder="1" applyAlignment="1">
      <alignment horizontal="left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right" vertical="center" wrapText="1"/>
    </xf>
    <xf numFmtId="0" fontId="0" fillId="0" borderId="1" xfId="0" applyNumberFormat="1" applyBorder="1" applyAlignment="1">
      <alignment horizontal="right" vertical="center" wrapText="1"/>
    </xf>
    <xf numFmtId="0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284"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C1CB2-5A89-4EE9-B7B8-26D912A856F1}">
  <sheetPr>
    <tabColor rgb="FFFF0000"/>
  </sheetPr>
  <dimension ref="A1:C15"/>
  <sheetViews>
    <sheetView tabSelected="1" workbookViewId="0">
      <selection activeCell="E10" sqref="E10"/>
    </sheetView>
  </sheetViews>
  <sheetFormatPr defaultRowHeight="14.4" x14ac:dyDescent="0.3"/>
  <cols>
    <col min="1" max="1" width="19.88671875" bestFit="1" customWidth="1"/>
    <col min="2" max="2" width="20.6640625" customWidth="1"/>
    <col min="3" max="3" width="22.33203125" customWidth="1"/>
  </cols>
  <sheetData>
    <row r="1" spans="1:3" ht="28.8" x14ac:dyDescent="0.3">
      <c r="A1" s="1" t="str" cm="1">
        <f t="array" ref="A1">_xll.DUCKDB.INFO()</f>
        <v>Add-in version: 1.9.0
DuckDB version: v2.0.0</v>
      </c>
    </row>
    <row r="3" spans="1:3" x14ac:dyDescent="0.3">
      <c r="A3" s="37" t="s">
        <v>238</v>
      </c>
      <c r="B3" s="40" t="s">
        <v>240</v>
      </c>
      <c r="C3" s="40" t="s">
        <v>241</v>
      </c>
    </row>
    <row r="4" spans="1:3" x14ac:dyDescent="0.3">
      <c r="A4" s="49" t="s">
        <v>239</v>
      </c>
      <c r="B4" s="4">
        <f>COUNT(VALUES!A2:A35)</f>
        <v>34</v>
      </c>
      <c r="C4" s="4">
        <f>COUNTIF(VALUES!F2:F35,"PASS")</f>
        <v>34</v>
      </c>
    </row>
    <row r="5" spans="1:3" x14ac:dyDescent="0.3">
      <c r="A5" s="49" t="s">
        <v>249</v>
      </c>
      <c r="B5" s="4">
        <f>COUNT(BIND!A2:A7)</f>
        <v>6</v>
      </c>
      <c r="C5" s="4">
        <f>COUNTIF(BIND!G2:G7,"PASS")</f>
        <v>6</v>
      </c>
    </row>
    <row r="6" spans="1:3" x14ac:dyDescent="0.3">
      <c r="A6" s="49" t="s">
        <v>242</v>
      </c>
      <c r="B6" s="47">
        <f>COUNT(INFERENCE_1!A2:A70)</f>
        <v>69</v>
      </c>
      <c r="C6" s="4">
        <f>COUNTIFS(INFERENCE_1!$G$2:$G$70,"PASS",INFERENCE_1!$K$2:$K$70,"PASS")</f>
        <v>69</v>
      </c>
    </row>
    <row r="7" spans="1:3" x14ac:dyDescent="0.3">
      <c r="A7" s="49" t="s">
        <v>251</v>
      </c>
      <c r="B7" s="4">
        <f>COUNT(INFERENCE_2!A2:A45)</f>
        <v>21</v>
      </c>
      <c r="C7" s="4">
        <f>COUNTIFS(INFERENCE_2!G2:G45,"PASS")</f>
        <v>21</v>
      </c>
    </row>
    <row r="8" spans="1:3" x14ac:dyDescent="0.3">
      <c r="A8" s="49" t="s">
        <v>244</v>
      </c>
      <c r="B8" s="4">
        <f>COUNT(CONVERT!A2:A113)</f>
        <v>56</v>
      </c>
      <c r="C8" s="4">
        <f>COUNTIF(CONVERT!G2:G113,"PASS")</f>
        <v>56</v>
      </c>
    </row>
    <row r="9" spans="1:3" x14ac:dyDescent="0.3">
      <c r="A9" s="49" t="s">
        <v>245</v>
      </c>
      <c r="B9" s="4">
        <f>COUNT('XLRANGE OPTIONS'!A12:A71)</f>
        <v>13</v>
      </c>
      <c r="C9" s="4">
        <f>COUNTIF('XLRANGE OPTIONS'!G12:G71,"PASS")</f>
        <v>13</v>
      </c>
    </row>
    <row r="10" spans="1:3" x14ac:dyDescent="0.3">
      <c r="A10" s="49" t="s">
        <v>247</v>
      </c>
      <c r="B10" s="4">
        <f>COUNT('SCALAR FUNCS'!A2:A4)</f>
        <v>3</v>
      </c>
      <c r="C10" s="4">
        <f>COUNTIF('SCALAR FUNCS'!G2:G4,"PASS")</f>
        <v>3</v>
      </c>
    </row>
    <row r="11" spans="1:3" x14ac:dyDescent="0.3">
      <c r="A11" s="49" t="s">
        <v>248</v>
      </c>
      <c r="B11" s="4">
        <f>COUNT('EXECX-A-AX-ASYNC'!A2:A8)</f>
        <v>7</v>
      </c>
      <c r="C11" s="4">
        <f>COUNTIF('EXECX-A-AX-ASYNC'!G2:G8,"PASS")</f>
        <v>7</v>
      </c>
    </row>
    <row r="12" spans="1:3" x14ac:dyDescent="0.3">
      <c r="A12" s="37" t="s">
        <v>250</v>
      </c>
      <c r="B12" s="40">
        <f>SUM(B4:B11)</f>
        <v>209</v>
      </c>
      <c r="C12" s="40">
        <f>SUM(C4:C11)</f>
        <v>209</v>
      </c>
    </row>
    <row r="15" spans="1:3" x14ac:dyDescent="0.3">
      <c r="A15" s="3" t="s">
        <v>252</v>
      </c>
    </row>
  </sheetData>
  <conditionalFormatting sqref="C4:C12">
    <cfRule type="expression" dxfId="283" priority="1" stopIfTrue="1">
      <formula>C4&lt;B4</formula>
    </cfRule>
    <cfRule type="expression" dxfId="282" priority="2" stopIfTrue="1">
      <formula>C4=B4</formula>
    </cfRule>
  </conditionalFormatting>
  <hyperlinks>
    <hyperlink ref="A4" location="VALUES!A1" display="VALUES" xr:uid="{3FB3C733-6F0D-4728-83F7-4AE4624976D8}"/>
    <hyperlink ref="A6" location="INFERENCE_1!A1" display="INFERENCE_1" xr:uid="{7FF64BA9-4217-462D-B12C-F97103160FF2}"/>
    <hyperlink ref="A7" location="INFERENCE_2!A1" display="INFERENCE_2" xr:uid="{C13A2226-5C2A-4067-876B-34E1E25CD272}"/>
    <hyperlink ref="A8" location="CONVERT!A1" display="CONVERT" xr:uid="{C1085F4E-2930-4DFF-8648-E028B5E4AA24}"/>
    <hyperlink ref="A9" location="'XLRANGE OPTIONS'!A1" display="XLRANGE OPTIONS" xr:uid="{F2145EF2-2DA8-42DD-9D1C-2E0729FB337C}"/>
    <hyperlink ref="A10" location="'SCALAR FUNCS'!A1" display="SCALAR FUNCTIONS" xr:uid="{32E5EC56-B0AE-4413-A5CB-BCFA45DC9E28}"/>
    <hyperlink ref="A11" location="'EXECX-A-AX-ASYNC'!A1" display="EXECX-A-AX-ASYNC" xr:uid="{5D5DA510-F086-4E98-9C05-45FBA708C0DA}"/>
    <hyperlink ref="A5" location="BIND!A1" display="PARAMETER BINDING" xr:uid="{6310C577-B31A-4EC7-8797-E95E7E3FBEC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58680-0ED5-4EFA-AB03-B446D1F523DD}">
  <dimension ref="A1:F40"/>
  <sheetViews>
    <sheetView topLeftCell="A10" workbookViewId="0">
      <selection activeCell="C40" sqref="C40"/>
    </sheetView>
  </sheetViews>
  <sheetFormatPr defaultRowHeight="14.4" x14ac:dyDescent="0.3"/>
  <cols>
    <col min="2" max="2" width="26" bestFit="1" customWidth="1"/>
    <col min="3" max="3" width="72.6640625" style="2" bestFit="1" customWidth="1"/>
    <col min="4" max="4" width="23.109375" style="5" bestFit="1" customWidth="1"/>
    <col min="5" max="5" width="23.109375" bestFit="1" customWidth="1"/>
    <col min="6" max="6" width="25.6640625" customWidth="1"/>
    <col min="9" max="9" width="38.109375" customWidth="1"/>
  </cols>
  <sheetData>
    <row r="1" spans="1:6" x14ac:dyDescent="0.3">
      <c r="A1" s="7" t="s">
        <v>243</v>
      </c>
      <c r="B1" s="7" t="s">
        <v>144</v>
      </c>
      <c r="C1" s="14" t="s">
        <v>143</v>
      </c>
      <c r="D1" s="15" t="s">
        <v>146</v>
      </c>
      <c r="E1" s="7" t="s">
        <v>145</v>
      </c>
      <c r="F1" s="7" t="s">
        <v>160</v>
      </c>
    </row>
    <row r="2" spans="1:6" x14ac:dyDescent="0.3">
      <c r="A2" s="9">
        <v>1</v>
      </c>
      <c r="B2" s="8" t="s">
        <v>0</v>
      </c>
      <c r="C2" s="16" t="s">
        <v>148</v>
      </c>
      <c r="D2" s="16">
        <v>127</v>
      </c>
      <c r="E2" s="17" cm="1">
        <f t="array" ref="E2">INDEX(_xll.DUCKDB.EXEC(C2),2)</f>
        <v>127</v>
      </c>
      <c r="F2" s="9" t="str">
        <f>IF(ISNA(D2),IF(ISNA(E2),"PASS","FAIL"),IFERROR(IF(D2=E2,"PASS","FAIL"),"FAIL"))</f>
        <v>PASS</v>
      </c>
    </row>
    <row r="3" spans="1:6" x14ac:dyDescent="0.3">
      <c r="A3" s="9">
        <v>2</v>
      </c>
      <c r="B3" s="8" t="s">
        <v>0</v>
      </c>
      <c r="C3" s="16" t="s">
        <v>149</v>
      </c>
      <c r="D3" s="16">
        <v>-128</v>
      </c>
      <c r="E3" s="17" cm="1">
        <f t="array" ref="E3">INDEX(_xll.DUCKDB.EXEC(C3),2)</f>
        <v>-128</v>
      </c>
      <c r="F3" s="9" t="str">
        <f t="shared" ref="F3:F34" si="0">IF(ISNA(D3),IF(ISNA(E3),"PASS","FAIL"),IFERROR(IF(D3=E3,"PASS","FAIL"),"FAIL"))</f>
        <v>PASS</v>
      </c>
    </row>
    <row r="4" spans="1:6" x14ac:dyDescent="0.3">
      <c r="A4" s="9">
        <v>3</v>
      </c>
      <c r="B4" s="8" t="s">
        <v>1</v>
      </c>
      <c r="C4" s="16" t="s">
        <v>150</v>
      </c>
      <c r="D4" s="16">
        <v>255</v>
      </c>
      <c r="E4" s="17" cm="1">
        <f t="array" ref="E4">INDEX(_xll.DUCKDB.EXEC(C4),2)</f>
        <v>255</v>
      </c>
      <c r="F4" s="9" t="str">
        <f t="shared" si="0"/>
        <v>PASS</v>
      </c>
    </row>
    <row r="5" spans="1:6" x14ac:dyDescent="0.3">
      <c r="A5" s="9">
        <v>4</v>
      </c>
      <c r="B5" s="8" t="s">
        <v>2</v>
      </c>
      <c r="C5" s="16" t="s">
        <v>151</v>
      </c>
      <c r="D5" s="16">
        <v>32767</v>
      </c>
      <c r="E5" s="17" cm="1">
        <f t="array" ref="E5">INDEX(_xll.DUCKDB.EXEC(C5),2)</f>
        <v>32767</v>
      </c>
      <c r="F5" s="9" t="str">
        <f t="shared" si="0"/>
        <v>PASS</v>
      </c>
    </row>
    <row r="6" spans="1:6" x14ac:dyDescent="0.3">
      <c r="A6" s="9">
        <v>5</v>
      </c>
      <c r="B6" s="8" t="s">
        <v>2</v>
      </c>
      <c r="C6" s="16" t="s">
        <v>152</v>
      </c>
      <c r="D6" s="16">
        <v>-32768</v>
      </c>
      <c r="E6" s="17" cm="1">
        <f t="array" ref="E6">INDEX(_xll.DUCKDB.EXEC(C6),2)</f>
        <v>-32768</v>
      </c>
      <c r="F6" s="9" t="str">
        <f t="shared" si="0"/>
        <v>PASS</v>
      </c>
    </row>
    <row r="7" spans="1:6" x14ac:dyDescent="0.3">
      <c r="A7" s="9">
        <v>6</v>
      </c>
      <c r="B7" s="8" t="s">
        <v>3</v>
      </c>
      <c r="C7" s="16" t="s">
        <v>155</v>
      </c>
      <c r="D7" s="16">
        <v>65535</v>
      </c>
      <c r="E7" s="17" cm="1">
        <f t="array" ref="E7">INDEX(_xll.DUCKDB.EXEC(C7),2)</f>
        <v>65535</v>
      </c>
      <c r="F7" s="9" t="str">
        <f t="shared" si="0"/>
        <v>PASS</v>
      </c>
    </row>
    <row r="8" spans="1:6" x14ac:dyDescent="0.3">
      <c r="A8" s="9">
        <v>7</v>
      </c>
      <c r="B8" s="8" t="s">
        <v>4</v>
      </c>
      <c r="C8" s="16" t="s">
        <v>153</v>
      </c>
      <c r="D8" s="16">
        <v>2147483647</v>
      </c>
      <c r="E8" s="17" cm="1">
        <f t="array" ref="E8">INDEX(_xll.DUCKDB.EXEC(C8),2)</f>
        <v>2147483647</v>
      </c>
      <c r="F8" s="9" t="str">
        <f t="shared" si="0"/>
        <v>PASS</v>
      </c>
    </row>
    <row r="9" spans="1:6" x14ac:dyDescent="0.3">
      <c r="A9" s="9">
        <v>8</v>
      </c>
      <c r="B9" s="8" t="s">
        <v>4</v>
      </c>
      <c r="C9" s="16" t="s">
        <v>154</v>
      </c>
      <c r="D9" s="16">
        <v>-2147483648</v>
      </c>
      <c r="E9" s="17" cm="1">
        <f t="array" ref="E9">INDEX(_xll.DUCKDB.EXEC(C9),2)</f>
        <v>-2147483648</v>
      </c>
      <c r="F9" s="9" t="str">
        <f t="shared" si="0"/>
        <v>PASS</v>
      </c>
    </row>
    <row r="10" spans="1:6" x14ac:dyDescent="0.3">
      <c r="A10" s="9">
        <v>9</v>
      </c>
      <c r="B10" s="8" t="s">
        <v>5</v>
      </c>
      <c r="C10" s="16" t="s">
        <v>156</v>
      </c>
      <c r="D10" s="16">
        <v>4294967295</v>
      </c>
      <c r="E10" s="17" cm="1">
        <f t="array" ref="E10">INDEX(_xll.DUCKDB.EXEC(C10),2)</f>
        <v>4294967295</v>
      </c>
      <c r="F10" s="9" t="str">
        <f t="shared" si="0"/>
        <v>PASS</v>
      </c>
    </row>
    <row r="11" spans="1:6" x14ac:dyDescent="0.3">
      <c r="A11" s="9">
        <v>10</v>
      </c>
      <c r="B11" s="8" t="s">
        <v>14</v>
      </c>
      <c r="C11" s="16" t="s">
        <v>158</v>
      </c>
      <c r="D11" s="16">
        <v>9.2233720368547758E+18</v>
      </c>
      <c r="E11" s="17" cm="1">
        <f t="array" ref="E11">INDEX(_xll.DUCKDB.EXEC(C11),2)</f>
        <v>9.2233720368547758E+18</v>
      </c>
      <c r="F11" s="9" t="str">
        <f t="shared" si="0"/>
        <v>PASS</v>
      </c>
    </row>
    <row r="12" spans="1:6" x14ac:dyDescent="0.3">
      <c r="A12" s="9">
        <v>11</v>
      </c>
      <c r="B12" s="8" t="s">
        <v>14</v>
      </c>
      <c r="C12" s="16" t="s">
        <v>159</v>
      </c>
      <c r="D12" s="16">
        <v>-9.2233720368547758E+18</v>
      </c>
      <c r="E12" s="17" cm="1">
        <f t="array" ref="E12">INDEX(_xll.DUCKDB.EXEC(C12),2)</f>
        <v>-9.2233720368547758E+18</v>
      </c>
      <c r="F12" s="9" t="str">
        <f t="shared" si="0"/>
        <v>PASS</v>
      </c>
    </row>
    <row r="13" spans="1:6" x14ac:dyDescent="0.3">
      <c r="A13" s="9">
        <v>12</v>
      </c>
      <c r="B13" s="8" t="s">
        <v>15</v>
      </c>
      <c r="C13" s="16" t="s">
        <v>157</v>
      </c>
      <c r="D13" s="16">
        <v>1.8446744073709552E+19</v>
      </c>
      <c r="E13" s="17" cm="1">
        <f t="array" ref="E13">INDEX(_xll.DUCKDB.EXEC(C13),2)</f>
        <v>1.8446744073709552E+19</v>
      </c>
      <c r="F13" s="9" t="str">
        <f t="shared" si="0"/>
        <v>PASS</v>
      </c>
    </row>
    <row r="14" spans="1:6" x14ac:dyDescent="0.3">
      <c r="A14" s="9">
        <v>13</v>
      </c>
      <c r="B14" s="8" t="s">
        <v>16</v>
      </c>
      <c r="C14" s="16" t="s">
        <v>165</v>
      </c>
      <c r="D14" s="16">
        <v>9.2233720368547758E+18</v>
      </c>
      <c r="E14" s="17" cm="1">
        <f t="array" ref="E14">INDEX(_xll.DUCKDB.EXEC(C14),2)</f>
        <v>9.2233720368547758E+18</v>
      </c>
      <c r="F14" s="9" t="str">
        <f t="shared" si="0"/>
        <v>PASS</v>
      </c>
    </row>
    <row r="15" spans="1:6" x14ac:dyDescent="0.3">
      <c r="A15" s="9">
        <v>14</v>
      </c>
      <c r="B15" s="8" t="s">
        <v>16</v>
      </c>
      <c r="C15" s="16" t="s">
        <v>166</v>
      </c>
      <c r="D15" s="16">
        <v>-9.2233720368547758E+18</v>
      </c>
      <c r="E15" s="17" cm="1">
        <f t="array" ref="E15">INDEX(_xll.DUCKDB.EXEC(C15),2)</f>
        <v>-9.2233720368547758E+18</v>
      </c>
      <c r="F15" s="9" t="str">
        <f t="shared" si="0"/>
        <v>PASS</v>
      </c>
    </row>
    <row r="16" spans="1:6" x14ac:dyDescent="0.3">
      <c r="A16" s="9">
        <v>15</v>
      </c>
      <c r="B16" s="8" t="s">
        <v>17</v>
      </c>
      <c r="C16" s="16" t="s">
        <v>167</v>
      </c>
      <c r="D16" s="16">
        <v>1.8446744073709552E+19</v>
      </c>
      <c r="E16" s="17" cm="1">
        <f t="array" ref="E16">INDEX(_xll.DUCKDB.EXEC(C16),2)</f>
        <v>1.8446744073709552E+19</v>
      </c>
      <c r="F16" s="9" t="str">
        <f t="shared" si="0"/>
        <v>PASS</v>
      </c>
    </row>
    <row r="17" spans="1:6" x14ac:dyDescent="0.3">
      <c r="A17" s="9">
        <v>16</v>
      </c>
      <c r="B17" s="8" t="s">
        <v>7</v>
      </c>
      <c r="C17" s="16" t="s">
        <v>6</v>
      </c>
      <c r="D17" s="16" t="b">
        <v>1</v>
      </c>
      <c r="E17" s="17" t="b" cm="1">
        <f t="array" ref="E17">INDEX(_xll.DUCKDB.EXEC(C17),2)</f>
        <v>1</v>
      </c>
      <c r="F17" s="9" t="str">
        <f t="shared" si="0"/>
        <v>PASS</v>
      </c>
    </row>
    <row r="18" spans="1:6" x14ac:dyDescent="0.3">
      <c r="A18" s="9">
        <v>17</v>
      </c>
      <c r="B18" s="8" t="s">
        <v>7</v>
      </c>
      <c r="C18" s="16" t="s">
        <v>147</v>
      </c>
      <c r="D18" s="16" t="b">
        <v>0</v>
      </c>
      <c r="E18" s="17" t="b" cm="1">
        <f t="array" ref="E18">INDEX(_xll.DUCKDB.EXEC(C18),2)</f>
        <v>0</v>
      </c>
      <c r="F18" s="9" t="str">
        <f t="shared" si="0"/>
        <v>PASS</v>
      </c>
    </row>
    <row r="19" spans="1:6" x14ac:dyDescent="0.3">
      <c r="A19" s="9">
        <v>18</v>
      </c>
      <c r="B19" s="8" t="s">
        <v>8</v>
      </c>
      <c r="C19" s="16" t="s">
        <v>9</v>
      </c>
      <c r="D19" s="16" t="s">
        <v>45</v>
      </c>
      <c r="E19" s="17" t="str" cm="1">
        <f t="array" ref="E19">INDEX(_xll.DUCKDB.EXEC(C19),2)</f>
        <v>abc</v>
      </c>
      <c r="F19" s="9" t="str">
        <f t="shared" si="0"/>
        <v>PASS</v>
      </c>
    </row>
    <row r="20" spans="1:6" x14ac:dyDescent="0.3">
      <c r="A20" s="9">
        <v>19</v>
      </c>
      <c r="B20" s="8" t="s">
        <v>10</v>
      </c>
      <c r="C20" s="16" t="s">
        <v>11</v>
      </c>
      <c r="D20" s="16">
        <v>1.2</v>
      </c>
      <c r="E20" s="17" cm="1">
        <f t="array" ref="E20">INDEX(_xll.DUCKDB.EXEC(C20),2)</f>
        <v>1.2000000476837158</v>
      </c>
      <c r="F20" s="9" t="str">
        <f>IF(ISNA(D20),IF(ISNA(E20),"PASS","FAIL"),IFERROR(IF(ABS(D20-E20)&lt;0.0000001,"PASS","FAIL"),"FAIL"))</f>
        <v>PASS</v>
      </c>
    </row>
    <row r="21" spans="1:6" x14ac:dyDescent="0.3">
      <c r="A21" s="9">
        <v>20</v>
      </c>
      <c r="B21" s="8" t="s">
        <v>12</v>
      </c>
      <c r="C21" s="16" t="s">
        <v>13</v>
      </c>
      <c r="D21" s="16">
        <v>1.2</v>
      </c>
      <c r="E21" s="17" cm="1">
        <f t="array" ref="E21">INDEX(_xll.DUCKDB.EXEC(C21),2)</f>
        <v>1.2</v>
      </c>
      <c r="F21" s="9" t="str">
        <f t="shared" si="0"/>
        <v>PASS</v>
      </c>
    </row>
    <row r="22" spans="1:6" x14ac:dyDescent="0.3">
      <c r="A22" s="9">
        <v>21</v>
      </c>
      <c r="B22" s="8" t="s">
        <v>18</v>
      </c>
      <c r="C22" s="16" t="s">
        <v>19</v>
      </c>
      <c r="D22" s="16">
        <v>1.2</v>
      </c>
      <c r="E22" s="17" cm="1">
        <f t="array" ref="E22">INDEX(_xll.DUCKDB.EXEC(C22),2)</f>
        <v>1.2</v>
      </c>
      <c r="F22" s="9" t="str">
        <f t="shared" si="0"/>
        <v>PASS</v>
      </c>
    </row>
    <row r="23" spans="1:6" x14ac:dyDescent="0.3">
      <c r="A23" s="9">
        <v>22</v>
      </c>
      <c r="B23" s="8" t="s">
        <v>20</v>
      </c>
      <c r="C23" s="16" t="s">
        <v>21</v>
      </c>
      <c r="D23" s="16">
        <v>1.2</v>
      </c>
      <c r="E23" s="17" cm="1">
        <f t="array" ref="E23">INDEX(_xll.DUCKDB.EXEC(C23),2)</f>
        <v>1.2</v>
      </c>
      <c r="F23" s="9" t="str">
        <f t="shared" si="0"/>
        <v>PASS</v>
      </c>
    </row>
    <row r="24" spans="1:6" x14ac:dyDescent="0.3">
      <c r="A24" s="9">
        <v>23</v>
      </c>
      <c r="B24" s="8" t="s">
        <v>22</v>
      </c>
      <c r="C24" s="16" t="s">
        <v>23</v>
      </c>
      <c r="D24" s="16">
        <v>1.2</v>
      </c>
      <c r="E24" s="17" cm="1">
        <f t="array" ref="E24">INDEX(_xll.DUCKDB.EXEC(C24),2)</f>
        <v>1.2</v>
      </c>
      <c r="F24" s="9" t="str">
        <f t="shared" si="0"/>
        <v>PASS</v>
      </c>
    </row>
    <row r="25" spans="1:6" x14ac:dyDescent="0.3">
      <c r="A25" s="9">
        <v>24</v>
      </c>
      <c r="B25" s="8" t="s">
        <v>24</v>
      </c>
      <c r="C25" s="16" t="s">
        <v>25</v>
      </c>
      <c r="D25" s="16">
        <v>1.2</v>
      </c>
      <c r="E25" s="17" cm="1">
        <f t="array" ref="E25">INDEX(_xll.DUCKDB.EXEC(C25),2)</f>
        <v>1.2</v>
      </c>
      <c r="F25" s="9" t="str">
        <f t="shared" si="0"/>
        <v>PASS</v>
      </c>
    </row>
    <row r="26" spans="1:6" x14ac:dyDescent="0.3">
      <c r="A26" s="9">
        <v>25</v>
      </c>
      <c r="B26" s="8" t="s">
        <v>26</v>
      </c>
      <c r="C26" s="16" t="s">
        <v>27</v>
      </c>
      <c r="D26" s="18">
        <v>46387</v>
      </c>
      <c r="E26" s="19" cm="1">
        <f t="array" ref="E26">INDEX(_xll.DUCKDB.EXEC(C26),2)</f>
        <v>46387</v>
      </c>
      <c r="F26" s="9" t="str">
        <f t="shared" si="0"/>
        <v>PASS</v>
      </c>
    </row>
    <row r="27" spans="1:6" x14ac:dyDescent="0.3">
      <c r="A27" s="9">
        <v>26</v>
      </c>
      <c r="B27" s="8" t="s">
        <v>28</v>
      </c>
      <c r="C27" s="16" t="s">
        <v>29</v>
      </c>
      <c r="D27" s="20">
        <v>0.39635416666666667</v>
      </c>
      <c r="E27" s="21" cm="1">
        <f t="array" ref="E27">INDEX(_xll.DUCKDB.EXEC(C27),2)</f>
        <v>0.39635416666666667</v>
      </c>
      <c r="F27" s="9" t="str">
        <f t="shared" si="0"/>
        <v>PASS</v>
      </c>
    </row>
    <row r="28" spans="1:6" x14ac:dyDescent="0.3">
      <c r="A28" s="9">
        <v>27</v>
      </c>
      <c r="B28" s="8" t="s">
        <v>30</v>
      </c>
      <c r="C28" s="16" t="s">
        <v>31</v>
      </c>
      <c r="D28" s="20">
        <v>0.39635416666666667</v>
      </c>
      <c r="E28" s="21" cm="1">
        <f t="array" ref="E28">INDEX(_xll.DUCKDB.EXEC(C28),2)</f>
        <v>0.39635416666666667</v>
      </c>
      <c r="F28" s="9" t="str">
        <f t="shared" si="0"/>
        <v>PASS</v>
      </c>
    </row>
    <row r="29" spans="1:6" x14ac:dyDescent="0.3">
      <c r="A29" s="9">
        <v>28</v>
      </c>
      <c r="B29" s="8" t="s">
        <v>32</v>
      </c>
      <c r="C29" s="16" t="s">
        <v>33</v>
      </c>
      <c r="D29" s="22">
        <v>46387.396354166667</v>
      </c>
      <c r="E29" s="23" cm="1">
        <f t="array" ref="E29">INDEX(_xll.DUCKDB.EXEC(C29),2)</f>
        <v>46387.396354166667</v>
      </c>
      <c r="F29" s="9" t="str">
        <f t="shared" si="0"/>
        <v>PASS</v>
      </c>
    </row>
    <row r="30" spans="1:6" x14ac:dyDescent="0.3">
      <c r="A30" s="9">
        <v>29</v>
      </c>
      <c r="B30" s="8" t="s">
        <v>34</v>
      </c>
      <c r="C30" s="16" t="s">
        <v>35</v>
      </c>
      <c r="D30" s="22">
        <v>46387.104687500003</v>
      </c>
      <c r="E30" s="23" cm="1">
        <f t="array" ref="E30">INDEX(_xll.DUCKDB.EXEC(C30),2)</f>
        <v>46387.104687500003</v>
      </c>
      <c r="F30" s="9" t="str">
        <f t="shared" si="0"/>
        <v>PASS</v>
      </c>
    </row>
    <row r="31" spans="1:6" x14ac:dyDescent="0.3">
      <c r="A31" s="9">
        <v>30</v>
      </c>
      <c r="B31" s="8" t="s">
        <v>36</v>
      </c>
      <c r="C31" s="16" t="s">
        <v>37</v>
      </c>
      <c r="D31" s="22">
        <v>46387.396354166667</v>
      </c>
      <c r="E31" s="23" cm="1">
        <f t="array" ref="E31">INDEX(_xll.DUCKDB.EXEC(C31),2)</f>
        <v>46387.396354166667</v>
      </c>
      <c r="F31" s="9" t="str">
        <f t="shared" si="0"/>
        <v>PASS</v>
      </c>
    </row>
    <row r="32" spans="1:6" x14ac:dyDescent="0.3">
      <c r="A32" s="9">
        <v>31</v>
      </c>
      <c r="B32" s="8" t="s">
        <v>38</v>
      </c>
      <c r="C32" s="16" t="s">
        <v>39</v>
      </c>
      <c r="D32" s="22">
        <v>46387.396354166667</v>
      </c>
      <c r="E32" s="23" cm="1">
        <f t="array" ref="E32">INDEX(_xll.DUCKDB.EXEC(C32),2)</f>
        <v>46387.396354166667</v>
      </c>
      <c r="F32" s="9" t="str">
        <f t="shared" si="0"/>
        <v>PASS</v>
      </c>
    </row>
    <row r="33" spans="1:6" x14ac:dyDescent="0.3">
      <c r="A33" s="9">
        <v>32</v>
      </c>
      <c r="B33" s="8" t="s">
        <v>40</v>
      </c>
      <c r="C33" s="16" t="s">
        <v>41</v>
      </c>
      <c r="D33" s="22">
        <v>46387.396354166667</v>
      </c>
      <c r="E33" s="23" cm="1">
        <f t="array" ref="E33">INDEX(_xll.DUCKDB.EXEC(C33),2)</f>
        <v>46387.396354166667</v>
      </c>
      <c r="F33" s="9" t="str">
        <f t="shared" si="0"/>
        <v>PASS</v>
      </c>
    </row>
    <row r="34" spans="1:6" x14ac:dyDescent="0.3">
      <c r="A34" s="9">
        <v>33</v>
      </c>
      <c r="B34" s="8" t="s">
        <v>42</v>
      </c>
      <c r="C34" s="16" t="s">
        <v>43</v>
      </c>
      <c r="D34" s="16" t="e">
        <v>#N/A</v>
      </c>
      <c r="E34" s="17" t="e" cm="1">
        <f t="array" ref="E34">INDEX(_xll.DUCKDB.EXEC(C34),2)</f>
        <v>#N/A</v>
      </c>
      <c r="F34" s="9" t="str">
        <f t="shared" si="0"/>
        <v>PASS</v>
      </c>
    </row>
    <row r="35" spans="1:6" x14ac:dyDescent="0.3">
      <c r="A35" s="9">
        <v>34</v>
      </c>
      <c r="B35" s="8" t="s">
        <v>44</v>
      </c>
      <c r="C35" s="16" t="s">
        <v>51</v>
      </c>
      <c r="D35" s="16" t="s">
        <v>116</v>
      </c>
      <c r="E35" s="17" t="str" cm="1">
        <f t="array" ref="E35">_xll.DUCKDB.EXEC(C35)</f>
        <v>Error fetching data: Column my_column: Unsupported DuckDB type. Convert the value to VARCHAR before returning it to Excel.</v>
      </c>
      <c r="F35" s="9" t="str">
        <f>IF(ISNA(D35),IF(ISNA(E35),"PASS","FAIL"),IFERROR(IF(D35=LEFT(E35,LEN(D35)),"PASS","FAIL"),"FAIL"))</f>
        <v>PASS</v>
      </c>
    </row>
    <row r="39" spans="1:6" x14ac:dyDescent="0.3">
      <c r="C39" s="2" t="str" cm="1">
        <f t="array" ref="C39:C40">_xll.DUCKDB.EXEC(C34)</f>
        <v>NULL</v>
      </c>
    </row>
    <row r="40" spans="1:6" x14ac:dyDescent="0.3">
      <c r="C40" s="2" t="e">
        <v>#N/A</v>
      </c>
    </row>
  </sheetData>
  <conditionalFormatting sqref="F2:F35">
    <cfRule type="cellIs" dxfId="281" priority="1" stopIfTrue="1" operator="equal">
      <formula>"PASS"</formula>
    </cfRule>
    <cfRule type="cellIs" dxfId="280" priority="2" stopIfTrue="1" operator="equal">
      <formula>"FAIL"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E5724-67A3-4259-906B-37F92D367239}">
  <dimension ref="A1:G7"/>
  <sheetViews>
    <sheetView workbookViewId="0">
      <selection activeCell="G2" sqref="G2"/>
    </sheetView>
  </sheetViews>
  <sheetFormatPr defaultRowHeight="14.4" x14ac:dyDescent="0.3"/>
  <cols>
    <col min="1" max="1" width="6.88671875" customWidth="1"/>
    <col min="2" max="2" width="16" customWidth="1"/>
    <col min="3" max="3" width="10.88671875" customWidth="1"/>
    <col min="4" max="4" width="12" customWidth="1"/>
    <col min="5" max="5" width="22.88671875" customWidth="1"/>
    <col min="6" max="6" width="26.88671875" bestFit="1" customWidth="1"/>
    <col min="7" max="7" width="12.5546875" customWidth="1"/>
  </cols>
  <sheetData>
    <row r="1" spans="1:7" x14ac:dyDescent="0.3">
      <c r="A1" s="7" t="s">
        <v>243</v>
      </c>
      <c r="B1" s="7" t="s">
        <v>123</v>
      </c>
      <c r="C1" s="7" t="s">
        <v>124</v>
      </c>
      <c r="D1" s="7" t="s">
        <v>143</v>
      </c>
      <c r="E1" s="7" t="s">
        <v>146</v>
      </c>
      <c r="F1" s="7" t="s">
        <v>145</v>
      </c>
      <c r="G1" s="7" t="s">
        <v>172</v>
      </c>
    </row>
    <row r="2" spans="1:7" x14ac:dyDescent="0.3">
      <c r="A2" s="9">
        <v>1</v>
      </c>
      <c r="B2" s="8" t="s">
        <v>237</v>
      </c>
      <c r="C2" s="8">
        <v>1</v>
      </c>
      <c r="D2" s="52" t="s">
        <v>48</v>
      </c>
      <c r="E2" s="8">
        <v>1</v>
      </c>
      <c r="F2" s="8" cm="1">
        <f t="array" ref="F2">INDEX(_xll.DUCKDB.EXEC($D$2,C2),2)</f>
        <v>1</v>
      </c>
      <c r="G2" s="13" t="str">
        <f>IF(F2=E2,"PASS","FAIL")</f>
        <v>PASS</v>
      </c>
    </row>
    <row r="3" spans="1:7" x14ac:dyDescent="0.3">
      <c r="A3" s="9">
        <v>2</v>
      </c>
      <c r="B3" s="8" t="s">
        <v>237</v>
      </c>
      <c r="C3" s="8">
        <v>1.2</v>
      </c>
      <c r="D3" s="52"/>
      <c r="E3" s="8">
        <v>1.2</v>
      </c>
      <c r="F3" s="8" cm="1">
        <f t="array" ref="F3">INDEX(_xll.DUCKDB.EXEC($D$2,C3),2)</f>
        <v>1.2</v>
      </c>
      <c r="G3" s="13" t="str">
        <f t="shared" ref="G3:G5" si="0">IF(F3=E3,"PASS","FAIL")</f>
        <v>PASS</v>
      </c>
    </row>
    <row r="4" spans="1:7" x14ac:dyDescent="0.3">
      <c r="A4" s="9">
        <v>3</v>
      </c>
      <c r="B4" s="8" t="s">
        <v>8</v>
      </c>
      <c r="C4" s="8" t="s">
        <v>45</v>
      </c>
      <c r="D4" s="52"/>
      <c r="E4" s="8" t="s">
        <v>45</v>
      </c>
      <c r="F4" s="8" t="str" cm="1">
        <f t="array" ref="F4">INDEX(_xll.DUCKDB.EXEC($D$2,C4),2)</f>
        <v>abc</v>
      </c>
      <c r="G4" s="13" t="str">
        <f t="shared" si="0"/>
        <v>PASS</v>
      </c>
    </row>
    <row r="5" spans="1:7" x14ac:dyDescent="0.3">
      <c r="A5" s="9">
        <v>4</v>
      </c>
      <c r="B5" s="8" t="s">
        <v>7</v>
      </c>
      <c r="C5" s="8" t="b">
        <v>0</v>
      </c>
      <c r="D5" s="52"/>
      <c r="E5" s="8" t="b">
        <v>0</v>
      </c>
      <c r="F5" s="8" t="b" cm="1">
        <f t="array" ref="F5">INDEX(_xll.DUCKDB.EXEC($D$2,C5),2)</f>
        <v>0</v>
      </c>
      <c r="G5" s="13" t="str">
        <f t="shared" si="0"/>
        <v>PASS</v>
      </c>
    </row>
    <row r="6" spans="1:7" x14ac:dyDescent="0.3">
      <c r="A6" s="9">
        <v>5</v>
      </c>
      <c r="B6" s="8" t="s">
        <v>49</v>
      </c>
      <c r="C6" s="8"/>
      <c r="D6" s="52"/>
      <c r="E6" s="8" t="e">
        <v>#N/A</v>
      </c>
      <c r="F6" s="8" t="e" cm="1">
        <f t="array" ref="F6">INDEX(_xll.DUCKDB.EXEC($D$2,C6),2)</f>
        <v>#N/A</v>
      </c>
      <c r="G6" s="13" t="str">
        <f>IF(ISNA(E6),IF(ISNA(F6),"PASS","FAIL"),IFERROR(IF(E6=LEFT(F6,LEN(E6)),"PASS","FAIL"),"FAIL"))</f>
        <v>PASS</v>
      </c>
    </row>
    <row r="7" spans="1:7" x14ac:dyDescent="0.3">
      <c r="A7" s="9">
        <v>6</v>
      </c>
      <c r="B7" s="8" t="s">
        <v>50</v>
      </c>
      <c r="C7" s="8" t="e">
        <f>1/0</f>
        <v>#DIV/0!</v>
      </c>
      <c r="D7" s="52"/>
      <c r="E7" s="8" t="s">
        <v>116</v>
      </c>
      <c r="F7" s="8" t="str" cm="1">
        <f t="array" ref="F7">_xll.DUCKDB.EXEC($D$2,C7)</f>
        <v>Error: Parameter binding failed.</v>
      </c>
      <c r="G7" s="13" t="str">
        <f>IF(ISNA(E7),IF(ISNA(F7),"PASS","FAIL"),IFERROR(IF(E7=LEFT(F7,LEN(E7)),"PASS","FAIL"),"FAIL"))</f>
        <v>PASS</v>
      </c>
    </row>
  </sheetData>
  <mergeCells count="1">
    <mergeCell ref="D2:D7"/>
  </mergeCells>
  <conditionalFormatting sqref="G2:G5">
    <cfRule type="cellIs" dxfId="279" priority="9" stopIfTrue="1" operator="equal">
      <formula>"PASS"</formula>
    </cfRule>
    <cfRule type="cellIs" dxfId="278" priority="10" stopIfTrue="1" operator="equal">
      <formula>"FAIL"</formula>
    </cfRule>
  </conditionalFormatting>
  <conditionalFormatting sqref="G6">
    <cfRule type="cellIs" dxfId="277" priority="7" stopIfTrue="1" operator="equal">
      <formula>"PASS"</formula>
    </cfRule>
    <cfRule type="cellIs" dxfId="276" priority="8" stopIfTrue="1" operator="equal">
      <formula>"FAIL"</formula>
    </cfRule>
  </conditionalFormatting>
  <conditionalFormatting sqref="G6">
    <cfRule type="cellIs" dxfId="275" priority="5" stopIfTrue="1" operator="equal">
      <formula>"PASS"</formula>
    </cfRule>
    <cfRule type="cellIs" dxfId="274" priority="6" stopIfTrue="1" operator="equal">
      <formula>"FAIL"</formula>
    </cfRule>
  </conditionalFormatting>
  <conditionalFormatting sqref="G7">
    <cfRule type="cellIs" dxfId="273" priority="3" stopIfTrue="1" operator="equal">
      <formula>"PASS"</formula>
    </cfRule>
    <cfRule type="cellIs" dxfId="272" priority="4" stopIfTrue="1" operator="equal">
      <formula>"FAIL"</formula>
    </cfRule>
  </conditionalFormatting>
  <conditionalFormatting sqref="G7">
    <cfRule type="cellIs" dxfId="271" priority="1" stopIfTrue="1" operator="equal">
      <formula>"PASS"</formula>
    </cfRule>
    <cfRule type="cellIs" dxfId="270" priority="2" stopIfTrue="1" operator="equal">
      <formula>"FAIL"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BDC2F-78D8-495C-B354-FBB81CDDC292}">
  <dimension ref="A1:N70"/>
  <sheetViews>
    <sheetView topLeftCell="E1" zoomScaleNormal="100" workbookViewId="0">
      <selection activeCell="K2" sqref="K2"/>
    </sheetView>
  </sheetViews>
  <sheetFormatPr defaultRowHeight="14.4" x14ac:dyDescent="0.3"/>
  <cols>
    <col min="1" max="1" width="11.44140625" bestFit="1" customWidth="1"/>
    <col min="2" max="2" width="51.44140625" customWidth="1"/>
    <col min="3" max="3" width="17.109375" customWidth="1"/>
    <col min="4" max="4" width="43.33203125" customWidth="1"/>
    <col min="5" max="5" width="20" style="4" bestFit="1" customWidth="1"/>
    <col min="6" max="6" width="17.6640625" style="4" bestFit="1" customWidth="1"/>
    <col min="7" max="7" width="21.5546875" bestFit="1" customWidth="1"/>
    <col min="8" max="8" width="29.6640625" customWidth="1"/>
    <col min="9" max="9" width="13.88671875" customWidth="1"/>
    <col min="10" max="10" width="12.109375" customWidth="1"/>
    <col min="11" max="11" width="21.109375" customWidth="1"/>
  </cols>
  <sheetData>
    <row r="1" spans="1:14" x14ac:dyDescent="0.3">
      <c r="A1" s="7" t="s">
        <v>243</v>
      </c>
      <c r="B1" s="7" t="s">
        <v>66</v>
      </c>
      <c r="C1" s="7" t="s">
        <v>124</v>
      </c>
      <c r="D1" s="7" t="s">
        <v>103</v>
      </c>
      <c r="E1" s="7" t="s">
        <v>100</v>
      </c>
      <c r="F1" s="7" t="s">
        <v>101</v>
      </c>
      <c r="G1" s="7" t="s">
        <v>102</v>
      </c>
      <c r="H1" s="7" t="s">
        <v>99</v>
      </c>
      <c r="I1" s="7" t="s">
        <v>96</v>
      </c>
      <c r="J1" s="7" t="s">
        <v>97</v>
      </c>
      <c r="K1" s="7" t="s">
        <v>98</v>
      </c>
    </row>
    <row r="2" spans="1:14" ht="14.4" customHeight="1" x14ac:dyDescent="0.3">
      <c r="A2" s="9">
        <v>1</v>
      </c>
      <c r="B2" s="8" t="s">
        <v>104</v>
      </c>
      <c r="C2" s="8">
        <v>1</v>
      </c>
      <c r="D2" s="53" t="s">
        <v>161</v>
      </c>
      <c r="E2" s="9" t="s">
        <v>4</v>
      </c>
      <c r="F2" s="9" t="str" cm="1">
        <f t="array" ref="F2">INDEX(_xll.DUCKDB.EXEC($D$2,B2:C2),2)</f>
        <v>INTEGER</v>
      </c>
      <c r="G2" s="9" t="str">
        <f>IF(E2=F2,"PASS","FAIL")</f>
        <v>PASS</v>
      </c>
      <c r="H2" s="53" t="s">
        <v>162</v>
      </c>
      <c r="I2" s="8">
        <f>C2</f>
        <v>1</v>
      </c>
      <c r="J2" s="8" cm="1">
        <f t="array" ref="J2">INDEX(_xll.DUCKDB.EXEC($H$2,B2:C2),2)</f>
        <v>1</v>
      </c>
      <c r="K2" s="9" t="str">
        <f>IF(ISNA(I2),IF(ISNA(J2),"PASS","FAIL"),IFERROR(IF(I2=J2,"PASS","FAIL"),"FAIL"))</f>
        <v>PASS</v>
      </c>
      <c r="N2" t="str" cm="1">
        <f t="array" ref="N2:N3">_xll.DUCKDB.EXEC($H$2,B2:C2)</f>
        <v>column_1</v>
      </c>
    </row>
    <row r="3" spans="1:14" ht="14.4" customHeight="1" x14ac:dyDescent="0.3">
      <c r="A3" s="9">
        <v>2</v>
      </c>
      <c r="B3" s="8" t="s">
        <v>104</v>
      </c>
      <c r="C3" s="8">
        <v>-1</v>
      </c>
      <c r="D3" s="53"/>
      <c r="E3" s="9" t="s">
        <v>4</v>
      </c>
      <c r="F3" s="9" t="str" cm="1">
        <f t="array" ref="F3">INDEX(_xll.DUCKDB.EXEC($D$2,B3:C3),2)</f>
        <v>INTEGER</v>
      </c>
      <c r="G3" s="9" t="str">
        <f>IF(E3=F3,"PASS","FAIL")</f>
        <v>PASS</v>
      </c>
      <c r="H3" s="53"/>
      <c r="I3" s="8">
        <f>C3</f>
        <v>-1</v>
      </c>
      <c r="J3" s="8" cm="1">
        <f t="array" ref="J3">INDEX(_xll.DUCKDB.EXEC($H$2,B3:C3),2)</f>
        <v>-1</v>
      </c>
      <c r="K3" s="9" t="str">
        <f>IF(ISNA(I3),IF(ISNA(J3),"PASS","FAIL"),IFERROR(IF(I3=J3,"PASS","FAIL"),"FAIL"))</f>
        <v>PASS</v>
      </c>
      <c r="N3">
        <v>1</v>
      </c>
    </row>
    <row r="4" spans="1:14" x14ac:dyDescent="0.3">
      <c r="A4" s="9">
        <v>3</v>
      </c>
      <c r="B4" s="8" t="s">
        <v>104</v>
      </c>
      <c r="C4" s="10">
        <v>2</v>
      </c>
      <c r="D4" s="53"/>
      <c r="E4" s="9" t="s">
        <v>4</v>
      </c>
      <c r="F4" s="9" t="str" cm="1">
        <f t="array" ref="F4">INDEX(_xll.DUCKDB.EXEC($D$2,B4:C4),2)</f>
        <v>INTEGER</v>
      </c>
      <c r="G4" s="9" t="str">
        <f t="shared" ref="G4:G39" si="0">IF(E4=F4,"PASS","FAIL")</f>
        <v>PASS</v>
      </c>
      <c r="H4" s="53"/>
      <c r="I4" s="8">
        <f>C4</f>
        <v>2</v>
      </c>
      <c r="J4" s="8" cm="1">
        <f t="array" ref="J4">INDEX(_xll.DUCKDB.EXEC($H$2,B4:C4),2)</f>
        <v>2</v>
      </c>
      <c r="K4" s="9" t="str">
        <f t="shared" ref="K4:K63" si="1">IF(ISNA(I4),IF(ISNA(J4),"PASS","FAIL"),IFERROR(IF(I4=J4,"PASS","FAIL"),"FAIL"))</f>
        <v>PASS</v>
      </c>
      <c r="N4" t="s">
        <v>162</v>
      </c>
    </row>
    <row r="5" spans="1:14" x14ac:dyDescent="0.3">
      <c r="A5" s="9">
        <v>4</v>
      </c>
      <c r="B5" s="8" t="s">
        <v>104</v>
      </c>
      <c r="C5" s="10">
        <v>-2</v>
      </c>
      <c r="D5" s="53"/>
      <c r="E5" s="9" t="s">
        <v>4</v>
      </c>
      <c r="F5" s="9" t="str" cm="1">
        <f t="array" ref="F5">INDEX(_xll.DUCKDB.EXEC($D$2,B5:C5),2)</f>
        <v>INTEGER</v>
      </c>
      <c r="G5" s="9" t="str">
        <f t="shared" ref="G5" si="2">IF(E5=F5,"PASS","FAIL")</f>
        <v>PASS</v>
      </c>
      <c r="H5" s="53"/>
      <c r="I5" s="8">
        <f>C5</f>
        <v>-2</v>
      </c>
      <c r="J5" s="8" cm="1">
        <f t="array" ref="J5">INDEX(_xll.DUCKDB.EXEC($H$2,B5:C5),2)</f>
        <v>-2</v>
      </c>
      <c r="K5" s="9" t="str">
        <f t="shared" ref="K5" si="3">IF(ISNA(I5),IF(ISNA(J5),"PASS","FAIL"),IFERROR(IF(I5=J5,"PASS","FAIL"),"FAIL"))</f>
        <v>PASS</v>
      </c>
    </row>
    <row r="6" spans="1:14" x14ac:dyDescent="0.3">
      <c r="A6" s="9">
        <v>5</v>
      </c>
      <c r="B6" s="8" t="s">
        <v>105</v>
      </c>
      <c r="C6" s="11" t="s">
        <v>62</v>
      </c>
      <c r="D6" s="53"/>
      <c r="E6" s="9" t="s">
        <v>4</v>
      </c>
      <c r="F6" s="9" t="str" cm="1">
        <f t="array" ref="F6">INDEX(_xll.DUCKDB.EXEC($D$2,B6:C6),2)</f>
        <v>INTEGER</v>
      </c>
      <c r="G6" s="9" t="str">
        <f t="shared" si="0"/>
        <v>PASS</v>
      </c>
      <c r="H6" s="53"/>
      <c r="I6" s="8">
        <v>1</v>
      </c>
      <c r="J6" s="8" cm="1">
        <f t="array" ref="J6">INDEX(_xll.DUCKDB.EXEC($H$2,B6:C6),2)</f>
        <v>1</v>
      </c>
      <c r="K6" s="9" t="str">
        <f t="shared" si="1"/>
        <v>PASS</v>
      </c>
      <c r="N6" t="str" cm="1">
        <f t="array" ref="N6:N7">_xll.DUCKDB.EXEC(N4,B2:C2)</f>
        <v>column_1</v>
      </c>
    </row>
    <row r="7" spans="1:14" x14ac:dyDescent="0.3">
      <c r="A7" s="9">
        <v>6</v>
      </c>
      <c r="B7" s="8" t="s">
        <v>105</v>
      </c>
      <c r="C7" s="11" t="s">
        <v>130</v>
      </c>
      <c r="D7" s="53"/>
      <c r="E7" s="9" t="s">
        <v>4</v>
      </c>
      <c r="F7" s="9" t="str" cm="1">
        <f t="array" ref="F7">INDEX(_xll.DUCKDB.EXEC($D$2,B7:C7),2)</f>
        <v>INTEGER</v>
      </c>
      <c r="G7" s="9" t="str">
        <f t="shared" ref="G7" si="4">IF(E7=F7,"PASS","FAIL")</f>
        <v>PASS</v>
      </c>
      <c r="H7" s="53"/>
      <c r="I7" s="8">
        <v>-1</v>
      </c>
      <c r="J7" s="8" cm="1">
        <f t="array" ref="J7">INDEX(_xll.DUCKDB.EXEC($H$2,B7:C7),2)</f>
        <v>-1</v>
      </c>
      <c r="K7" s="9" t="str">
        <f t="shared" si="1"/>
        <v>PASS</v>
      </c>
      <c r="N7">
        <v>1</v>
      </c>
    </row>
    <row r="8" spans="1:14" x14ac:dyDescent="0.3">
      <c r="A8" s="9">
        <v>7</v>
      </c>
      <c r="B8" s="8" t="s">
        <v>105</v>
      </c>
      <c r="C8" s="11" t="s">
        <v>63</v>
      </c>
      <c r="D8" s="53"/>
      <c r="E8" s="9" t="s">
        <v>4</v>
      </c>
      <c r="F8" s="9" t="str" cm="1">
        <f t="array" ref="F8">INDEX(_xll.DUCKDB.EXEC($D$2,B8:C8),2)</f>
        <v>INTEGER</v>
      </c>
      <c r="G8" s="9" t="str">
        <f t="shared" si="0"/>
        <v>PASS</v>
      </c>
      <c r="H8" s="53"/>
      <c r="I8" s="8">
        <v>1</v>
      </c>
      <c r="J8" s="8" cm="1">
        <f t="array" ref="J8">INDEX(_xll.DUCKDB.EXEC($H$2,B8:C8),2)</f>
        <v>1</v>
      </c>
      <c r="K8" s="9" t="str">
        <f t="shared" si="1"/>
        <v>PASS</v>
      </c>
    </row>
    <row r="9" spans="1:14" x14ac:dyDescent="0.3">
      <c r="A9" s="9">
        <v>8</v>
      </c>
      <c r="B9" s="8" t="s">
        <v>105</v>
      </c>
      <c r="C9" s="11" t="s">
        <v>131</v>
      </c>
      <c r="D9" s="53"/>
      <c r="E9" s="9" t="s">
        <v>4</v>
      </c>
      <c r="F9" s="9" t="str" cm="1">
        <f t="array" ref="F9">INDEX(_xll.DUCKDB.EXEC($D$2,B9:C9),2)</f>
        <v>INTEGER</v>
      </c>
      <c r="G9" s="9" t="str">
        <f t="shared" ref="G9" si="5">IF(E9=F9,"PASS","FAIL")</f>
        <v>PASS</v>
      </c>
      <c r="H9" s="53"/>
      <c r="I9" s="8">
        <v>-1</v>
      </c>
      <c r="J9" s="8" cm="1">
        <f t="array" ref="J9">INDEX(_xll.DUCKDB.EXEC($H$2,B9:C9),2)</f>
        <v>-1</v>
      </c>
      <c r="K9" s="9" t="str">
        <f t="shared" ref="K9:K10" si="6">IF(ISNA(I9),IF(ISNA(J9),"PASS","FAIL"),IFERROR(IF(I9=J9,"PASS","FAIL"),"FAIL"))</f>
        <v>PASS</v>
      </c>
    </row>
    <row r="10" spans="1:14" x14ac:dyDescent="0.3">
      <c r="A10" s="9">
        <v>9</v>
      </c>
      <c r="B10" s="8" t="s">
        <v>105</v>
      </c>
      <c r="C10" s="11" t="s">
        <v>132</v>
      </c>
      <c r="D10" s="53"/>
      <c r="E10" s="9" t="s">
        <v>4</v>
      </c>
      <c r="F10" s="9" t="str" cm="1">
        <f t="array" ref="F10">INDEX(_xll.DUCKDB.EXEC($D$2,B10:C10),2)</f>
        <v>INTEGER</v>
      </c>
      <c r="G10" s="9" t="str">
        <f t="shared" ref="G10:G11" si="7">IF(E10=F10,"PASS","FAIL")</f>
        <v>PASS</v>
      </c>
      <c r="H10" s="53"/>
      <c r="I10" s="8">
        <v>10</v>
      </c>
      <c r="J10" s="8" cm="1">
        <f t="array" ref="J10">INDEX(_xll.DUCKDB.EXEC($H$2,B10:C10),2)</f>
        <v>10</v>
      </c>
      <c r="K10" s="9" t="str">
        <f t="shared" si="6"/>
        <v>PASS</v>
      </c>
    </row>
    <row r="11" spans="1:14" x14ac:dyDescent="0.3">
      <c r="A11" s="9">
        <v>10</v>
      </c>
      <c r="B11" s="8" t="s">
        <v>105</v>
      </c>
      <c r="C11" s="11" t="s">
        <v>133</v>
      </c>
      <c r="D11" s="53"/>
      <c r="E11" s="9" t="s">
        <v>4</v>
      </c>
      <c r="F11" s="9" t="str" cm="1">
        <f t="array" ref="F11">INDEX(_xll.DUCKDB.EXEC($D$2,B11:C11),2)</f>
        <v>INTEGER</v>
      </c>
      <c r="G11" s="9" t="str">
        <f t="shared" si="7"/>
        <v>PASS</v>
      </c>
      <c r="H11" s="53"/>
      <c r="I11" s="8">
        <v>-10</v>
      </c>
      <c r="J11" s="8" cm="1">
        <f t="array" ref="J11">INDEX(_xll.DUCKDB.EXEC($H$2,B11:C11),2)</f>
        <v>-10</v>
      </c>
      <c r="K11" s="9" t="str">
        <f t="shared" ref="K11" si="8">IF(ISNA(I11),IF(ISNA(J11),"PASS","FAIL"),IFERROR(IF(I11=J11,"PASS","FAIL"),"FAIL"))</f>
        <v>PASS</v>
      </c>
    </row>
    <row r="12" spans="1:14" x14ac:dyDescent="0.3">
      <c r="A12" s="9">
        <v>11</v>
      </c>
      <c r="B12" s="8" t="s">
        <v>106</v>
      </c>
      <c r="C12" s="11" t="s">
        <v>64</v>
      </c>
      <c r="D12" s="53"/>
      <c r="E12" s="9" t="s">
        <v>4</v>
      </c>
      <c r="F12" s="9" t="str" cm="1">
        <f t="array" ref="F12">INDEX(_xll.DUCKDB.EXEC($D$2,B12:C12),2)</f>
        <v>INTEGER</v>
      </c>
      <c r="G12" s="9" t="str">
        <f t="shared" si="0"/>
        <v>PASS</v>
      </c>
      <c r="H12" s="53"/>
      <c r="I12" s="8">
        <v>1</v>
      </c>
      <c r="J12" s="8" cm="1">
        <f t="array" ref="J12">INDEX(_xll.DUCKDB.EXEC($H$2,B12:C12),2)</f>
        <v>1</v>
      </c>
      <c r="K12" s="9" t="str">
        <f t="shared" si="1"/>
        <v>PASS</v>
      </c>
    </row>
    <row r="13" spans="1:14" x14ac:dyDescent="0.3">
      <c r="A13" s="9">
        <v>12</v>
      </c>
      <c r="B13" s="8" t="s">
        <v>106</v>
      </c>
      <c r="C13" s="11" t="s">
        <v>135</v>
      </c>
      <c r="D13" s="53"/>
      <c r="E13" s="9" t="s">
        <v>4</v>
      </c>
      <c r="F13" s="9" t="str" cm="1">
        <f t="array" ref="F13">INDEX(_xll.DUCKDB.EXEC($D$2,B13:C13),2)</f>
        <v>INTEGER</v>
      </c>
      <c r="G13" s="9" t="str">
        <f t="shared" ref="G13" si="9">IF(E13=F13,"PASS","FAIL")</f>
        <v>PASS</v>
      </c>
      <c r="H13" s="53"/>
      <c r="I13" s="8">
        <v>-1</v>
      </c>
      <c r="J13" s="8" cm="1">
        <f t="array" ref="J13">INDEX(_xll.DUCKDB.EXEC($H$2,B13:C13),2)</f>
        <v>-1</v>
      </c>
      <c r="K13" s="9" t="str">
        <f t="shared" ref="K13" si="10">IF(ISNA(I13),IF(ISNA(J13),"PASS","FAIL"),IFERROR(IF(I13=J13,"PASS","FAIL"),"FAIL"))</f>
        <v>PASS</v>
      </c>
    </row>
    <row r="14" spans="1:14" x14ac:dyDescent="0.3">
      <c r="A14" s="9">
        <v>13</v>
      </c>
      <c r="B14" s="8" t="s">
        <v>106</v>
      </c>
      <c r="C14" s="11" t="s">
        <v>65</v>
      </c>
      <c r="D14" s="53"/>
      <c r="E14" s="9" t="s">
        <v>4</v>
      </c>
      <c r="F14" s="9" t="str" cm="1">
        <f t="array" ref="F14">INDEX(_xll.DUCKDB.EXEC($D$2,B14:C14),2)</f>
        <v>INTEGER</v>
      </c>
      <c r="G14" s="9" t="str">
        <f t="shared" si="0"/>
        <v>PASS</v>
      </c>
      <c r="H14" s="53"/>
      <c r="I14" s="8">
        <v>1</v>
      </c>
      <c r="J14" s="8" cm="1">
        <f t="array" ref="J14">INDEX(_xll.DUCKDB.EXEC($H$2,B14:C14),2)</f>
        <v>1</v>
      </c>
      <c r="K14" s="9" t="str">
        <f t="shared" si="1"/>
        <v>PASS</v>
      </c>
    </row>
    <row r="15" spans="1:14" x14ac:dyDescent="0.3">
      <c r="A15" s="9">
        <v>14</v>
      </c>
      <c r="B15" s="8" t="s">
        <v>106</v>
      </c>
      <c r="C15" s="11" t="s">
        <v>136</v>
      </c>
      <c r="D15" s="53"/>
      <c r="E15" s="9" t="s">
        <v>4</v>
      </c>
      <c r="F15" s="9" t="str" cm="1">
        <f t="array" ref="F15">INDEX(_xll.DUCKDB.EXEC($D$2,B15:C15),2)</f>
        <v>INTEGER</v>
      </c>
      <c r="G15" s="9" t="str">
        <f t="shared" ref="G15" si="11">IF(E15=F15,"PASS","FAIL")</f>
        <v>PASS</v>
      </c>
      <c r="H15" s="53"/>
      <c r="I15" s="8">
        <v>-1</v>
      </c>
      <c r="J15" s="8" cm="1">
        <f t="array" ref="J15">INDEX(_xll.DUCKDB.EXEC($H$2,B15:C15),2)</f>
        <v>-1</v>
      </c>
      <c r="K15" s="9" t="str">
        <f t="shared" ref="K15" si="12">IF(ISNA(I15),IF(ISNA(J15),"PASS","FAIL"),IFERROR(IF(I15=J15,"PASS","FAIL"),"FAIL"))</f>
        <v>PASS</v>
      </c>
    </row>
    <row r="16" spans="1:14" x14ac:dyDescent="0.3">
      <c r="A16" s="9">
        <v>15</v>
      </c>
      <c r="B16" s="8" t="s">
        <v>106</v>
      </c>
      <c r="C16" s="11" t="s">
        <v>134</v>
      </c>
      <c r="D16" s="53"/>
      <c r="E16" s="9" t="s">
        <v>4</v>
      </c>
      <c r="F16" s="9" t="str" cm="1">
        <f t="array" ref="F16">INDEX(_xll.DUCKDB.EXEC($D$2,B16:C16),2)</f>
        <v>INTEGER</v>
      </c>
      <c r="G16" s="9" t="str">
        <f t="shared" ref="G16" si="13">IF(E16=F16,"PASS","FAIL")</f>
        <v>PASS</v>
      </c>
      <c r="H16" s="53"/>
      <c r="I16" s="8">
        <v>10</v>
      </c>
      <c r="J16" s="8" cm="1">
        <f t="array" ref="J16">INDEX(_xll.DUCKDB.EXEC($H$2,B16:C16),2)</f>
        <v>10</v>
      </c>
      <c r="K16" s="9" t="str">
        <f t="shared" ref="K16" si="14">IF(ISNA(I16),IF(ISNA(J16),"PASS","FAIL"),IFERROR(IF(I16=J16,"PASS","FAIL"),"FAIL"))</f>
        <v>PASS</v>
      </c>
    </row>
    <row r="17" spans="1:11" x14ac:dyDescent="0.3">
      <c r="A17" s="9">
        <v>16</v>
      </c>
      <c r="B17" s="8" t="s">
        <v>106</v>
      </c>
      <c r="C17" s="11" t="s">
        <v>137</v>
      </c>
      <c r="D17" s="53"/>
      <c r="E17" s="9" t="s">
        <v>4</v>
      </c>
      <c r="F17" s="9" t="str" cm="1">
        <f t="array" ref="F17">INDEX(_xll.DUCKDB.EXEC($D$2,B17:C17),2)</f>
        <v>INTEGER</v>
      </c>
      <c r="G17" s="9" t="str">
        <f t="shared" ref="G17" si="15">IF(E17=F17,"PASS","FAIL")</f>
        <v>PASS</v>
      </c>
      <c r="H17" s="53"/>
      <c r="I17" s="8">
        <v>-10</v>
      </c>
      <c r="J17" s="8" cm="1">
        <f t="array" ref="J17">INDEX(_xll.DUCKDB.EXEC($H$2,B17:C17),2)</f>
        <v>-10</v>
      </c>
      <c r="K17" s="9" t="str">
        <f t="shared" ref="K17" si="16">IF(ISNA(I17),IF(ISNA(J17),"PASS","FAIL"),IFERROR(IF(I17=J17,"PASS","FAIL"),"FAIL"))</f>
        <v>PASS</v>
      </c>
    </row>
    <row r="18" spans="1:11" x14ac:dyDescent="0.3">
      <c r="A18" s="9">
        <v>17</v>
      </c>
      <c r="B18" s="8" t="s">
        <v>107</v>
      </c>
      <c r="C18" s="8">
        <v>1.2</v>
      </c>
      <c r="D18" s="53"/>
      <c r="E18" s="9" t="s">
        <v>12</v>
      </c>
      <c r="F18" s="9" t="str" cm="1">
        <f t="array" ref="F18">INDEX(_xll.DUCKDB.EXEC($D$2,B18:C18),2)</f>
        <v>DOUBLE</v>
      </c>
      <c r="G18" s="9" t="str">
        <f t="shared" si="0"/>
        <v>PASS</v>
      </c>
      <c r="H18" s="53"/>
      <c r="I18" s="8">
        <f>C18</f>
        <v>1.2</v>
      </c>
      <c r="J18" s="8" cm="1">
        <f t="array" ref="J18">INDEX(_xll.DUCKDB.EXEC($H$2,B18:C18),2)</f>
        <v>1.2</v>
      </c>
      <c r="K18" s="9" t="str">
        <f t="shared" si="1"/>
        <v>PASS</v>
      </c>
    </row>
    <row r="19" spans="1:11" x14ac:dyDescent="0.3">
      <c r="A19" s="9">
        <v>18</v>
      </c>
      <c r="B19" s="8" t="s">
        <v>107</v>
      </c>
      <c r="C19" s="8">
        <v>-1.2</v>
      </c>
      <c r="D19" s="53"/>
      <c r="E19" s="9" t="s">
        <v>12</v>
      </c>
      <c r="F19" s="9" t="str" cm="1">
        <f t="array" ref="F19">INDEX(_xll.DUCKDB.EXEC($D$2,B19:C19),2)</f>
        <v>DOUBLE</v>
      </c>
      <c r="G19" s="9" t="str">
        <f t="shared" ref="G19" si="17">IF(E19=F19,"PASS","FAIL")</f>
        <v>PASS</v>
      </c>
      <c r="H19" s="53"/>
      <c r="I19" s="8">
        <f>C19</f>
        <v>-1.2</v>
      </c>
      <c r="J19" s="8" cm="1">
        <f t="array" ref="J19">INDEX(_xll.DUCKDB.EXEC($H$2,B19:C19),2)</f>
        <v>-1.2</v>
      </c>
      <c r="K19" s="9" t="str">
        <f t="shared" ref="K19" si="18">IF(ISNA(I19),IF(ISNA(J19),"PASS","FAIL"),IFERROR(IF(I19=J19,"PASS","FAIL"),"FAIL"))</f>
        <v>PASS</v>
      </c>
    </row>
    <row r="20" spans="1:11" x14ac:dyDescent="0.3">
      <c r="A20" s="9">
        <v>19</v>
      </c>
      <c r="B20" s="8" t="s">
        <v>108</v>
      </c>
      <c r="C20" s="11" t="s">
        <v>67</v>
      </c>
      <c r="D20" s="53"/>
      <c r="E20" s="9" t="s">
        <v>12</v>
      </c>
      <c r="F20" s="9" t="str" cm="1">
        <f t="array" ref="F20">INDEX(_xll.DUCKDB.EXEC($D$2,B20:C20),2)</f>
        <v>DOUBLE</v>
      </c>
      <c r="G20" s="9" t="str">
        <f t="shared" si="0"/>
        <v>PASS</v>
      </c>
      <c r="H20" s="53"/>
      <c r="I20" s="8">
        <v>1.2</v>
      </c>
      <c r="J20" s="8" cm="1">
        <f t="array" ref="J20">INDEX(_xll.DUCKDB.EXEC($H$2,B20:C20),2)</f>
        <v>1.2</v>
      </c>
      <c r="K20" s="9" t="str">
        <f t="shared" si="1"/>
        <v>PASS</v>
      </c>
    </row>
    <row r="21" spans="1:11" x14ac:dyDescent="0.3">
      <c r="A21" s="9">
        <v>20</v>
      </c>
      <c r="B21" s="8" t="s">
        <v>108</v>
      </c>
      <c r="C21" s="11" t="s">
        <v>138</v>
      </c>
      <c r="D21" s="53"/>
      <c r="E21" s="9" t="s">
        <v>12</v>
      </c>
      <c r="F21" s="9" t="str" cm="1">
        <f t="array" ref="F21">INDEX(_xll.DUCKDB.EXEC($D$2,B21:C21),2)</f>
        <v>DOUBLE</v>
      </c>
      <c r="G21" s="9" t="str">
        <f t="shared" ref="G21" si="19">IF(E21=F21,"PASS","FAIL")</f>
        <v>PASS</v>
      </c>
      <c r="H21" s="53"/>
      <c r="I21" s="8">
        <v>-1.2</v>
      </c>
      <c r="J21" s="8" cm="1">
        <f t="array" ref="J21">INDEX(_xll.DUCKDB.EXEC($H$2,B21:C21),2)</f>
        <v>-1.2</v>
      </c>
      <c r="K21" s="9" t="str">
        <f t="shared" ref="K21" si="20">IF(ISNA(I21),IF(ISNA(J21),"PASS","FAIL"),IFERROR(IF(I21=J21,"PASS","FAIL"),"FAIL"))</f>
        <v>PASS</v>
      </c>
    </row>
    <row r="22" spans="1:11" x14ac:dyDescent="0.3">
      <c r="A22" s="9">
        <v>21</v>
      </c>
      <c r="B22" s="8" t="s">
        <v>109</v>
      </c>
      <c r="C22" s="11" t="s">
        <v>68</v>
      </c>
      <c r="D22" s="53"/>
      <c r="E22" s="9" t="s">
        <v>12</v>
      </c>
      <c r="F22" s="9" t="str" cm="1">
        <f t="array" ref="F22">INDEX(_xll.DUCKDB.EXEC($D$2,B22:C22),2)</f>
        <v>DOUBLE</v>
      </c>
      <c r="G22" s="9" t="str">
        <f t="shared" si="0"/>
        <v>PASS</v>
      </c>
      <c r="H22" s="53"/>
      <c r="I22" s="8">
        <v>1.2</v>
      </c>
      <c r="J22" s="8" cm="1">
        <f t="array" ref="J22">INDEX(_xll.DUCKDB.EXEC($H$2,B22:C22),2)</f>
        <v>1.2</v>
      </c>
      <c r="K22" s="9" t="str">
        <f t="shared" si="1"/>
        <v>PASS</v>
      </c>
    </row>
    <row r="23" spans="1:11" x14ac:dyDescent="0.3">
      <c r="A23" s="9">
        <v>22</v>
      </c>
      <c r="B23" s="8" t="s">
        <v>109</v>
      </c>
      <c r="C23" s="11" t="s">
        <v>139</v>
      </c>
      <c r="D23" s="53"/>
      <c r="E23" s="9" t="s">
        <v>12</v>
      </c>
      <c r="F23" s="9" t="str" cm="1">
        <f t="array" ref="F23">INDEX(_xll.DUCKDB.EXEC($D$2,B23:C23),2)</f>
        <v>DOUBLE</v>
      </c>
      <c r="G23" s="9" t="str">
        <f t="shared" ref="G23:G24" si="21">IF(E23=F23,"PASS","FAIL")</f>
        <v>PASS</v>
      </c>
      <c r="H23" s="53"/>
      <c r="I23" s="8">
        <v>-1.2</v>
      </c>
      <c r="J23" s="8" cm="1">
        <f t="array" ref="J23">INDEX(_xll.DUCKDB.EXEC($H$2,B23:C23),2)</f>
        <v>-1.2</v>
      </c>
      <c r="K23" s="9" t="str">
        <f t="shared" ref="K23:K24" si="22">IF(ISNA(I23),IF(ISNA(J23),"PASS","FAIL"),IFERROR(IF(I23=J23,"PASS","FAIL"),"FAIL"))</f>
        <v>PASS</v>
      </c>
    </row>
    <row r="24" spans="1:11" x14ac:dyDescent="0.3">
      <c r="A24" s="9">
        <v>23</v>
      </c>
      <c r="B24" s="8" t="s">
        <v>109</v>
      </c>
      <c r="C24" s="11" t="s">
        <v>140</v>
      </c>
      <c r="D24" s="53"/>
      <c r="E24" s="9" t="s">
        <v>12</v>
      </c>
      <c r="F24" s="9" t="str" cm="1">
        <f t="array" ref="F24">INDEX(_xll.DUCKDB.EXEC($D$2,B24:C24),2)</f>
        <v>DOUBLE</v>
      </c>
      <c r="G24" s="9" t="str">
        <f t="shared" si="21"/>
        <v>PASS</v>
      </c>
      <c r="H24" s="53"/>
      <c r="I24" s="8">
        <v>1.2E-2</v>
      </c>
      <c r="J24" s="8" cm="1">
        <f t="array" ref="J24">INDEX(_xll.DUCKDB.EXEC($H$2,B24:C24),2)</f>
        <v>1.2E-2</v>
      </c>
      <c r="K24" s="9" t="str">
        <f t="shared" si="22"/>
        <v>PASS</v>
      </c>
    </row>
    <row r="25" spans="1:11" x14ac:dyDescent="0.3">
      <c r="A25" s="9">
        <v>24</v>
      </c>
      <c r="B25" s="8" t="s">
        <v>109</v>
      </c>
      <c r="C25" s="11" t="s">
        <v>141</v>
      </c>
      <c r="D25" s="53"/>
      <c r="E25" s="9" t="s">
        <v>12</v>
      </c>
      <c r="F25" s="9" t="str" cm="1">
        <f t="array" ref="F25">INDEX(_xll.DUCKDB.EXEC($D$2,B25:C25),2)</f>
        <v>DOUBLE</v>
      </c>
      <c r="G25" s="9" t="str">
        <f t="shared" ref="G25" si="23">IF(E25=F25,"PASS","FAIL")</f>
        <v>PASS</v>
      </c>
      <c r="H25" s="53"/>
      <c r="I25" s="8">
        <v>-1.2E-2</v>
      </c>
      <c r="J25" s="8" cm="1">
        <f t="array" ref="J25">INDEX(_xll.DUCKDB.EXEC($H$2,B25:C25),2)</f>
        <v>-1.2E-2</v>
      </c>
      <c r="K25" s="9" t="str">
        <f t="shared" ref="K25" si="24">IF(ISNA(I25),IF(ISNA(J25),"PASS","FAIL"),IFERROR(IF(I25=J25,"PASS","FAIL"),"FAIL"))</f>
        <v>PASS</v>
      </c>
    </row>
    <row r="26" spans="1:11" x14ac:dyDescent="0.3">
      <c r="A26" s="9">
        <v>25</v>
      </c>
      <c r="B26" s="8" t="s">
        <v>119</v>
      </c>
      <c r="C26" s="8">
        <v>2147483648</v>
      </c>
      <c r="D26" s="53"/>
      <c r="E26" s="9" t="s">
        <v>12</v>
      </c>
      <c r="F26" s="9" t="str" cm="1">
        <f t="array" ref="F26">INDEX(_xll.DUCKDB.EXEC($D$2,B26:C26),2)</f>
        <v>DOUBLE</v>
      </c>
      <c r="G26" s="9" t="str">
        <f t="shared" si="0"/>
        <v>PASS</v>
      </c>
      <c r="H26" s="53"/>
      <c r="I26" s="8">
        <f>C26</f>
        <v>2147483648</v>
      </c>
      <c r="J26" s="8" cm="1">
        <f t="array" ref="J26">INDEX(_xll.DUCKDB.EXEC($H$2,B26:C26),2)</f>
        <v>2147483648</v>
      </c>
      <c r="K26" s="9" t="str">
        <f t="shared" si="1"/>
        <v>PASS</v>
      </c>
    </row>
    <row r="27" spans="1:11" x14ac:dyDescent="0.3">
      <c r="A27" s="9">
        <v>26</v>
      </c>
      <c r="B27" s="8" t="s">
        <v>119</v>
      </c>
      <c r="C27" s="8">
        <v>-2147483649</v>
      </c>
      <c r="D27" s="53"/>
      <c r="E27" s="9" t="s">
        <v>12</v>
      </c>
      <c r="F27" s="9" t="str" cm="1">
        <f t="array" ref="F27">INDEX(_xll.DUCKDB.EXEC($D$2,B27:C27),2)</f>
        <v>DOUBLE</v>
      </c>
      <c r="G27" s="9" t="str">
        <f t="shared" ref="G27" si="25">IF(E27=F27,"PASS","FAIL")</f>
        <v>PASS</v>
      </c>
      <c r="H27" s="53"/>
      <c r="I27" s="8">
        <f>C27</f>
        <v>-2147483649</v>
      </c>
      <c r="J27" s="8" cm="1">
        <f t="array" ref="J27">INDEX(_xll.DUCKDB.EXEC($H$2,B27:C27),2)</f>
        <v>-2147483649</v>
      </c>
      <c r="K27" s="9" t="str">
        <f t="shared" ref="K27" si="26">IF(ISNA(I27),IF(ISNA(J27),"PASS","FAIL"),IFERROR(IF(I27=J27,"PASS","FAIL"),"FAIL"))</f>
        <v>PASS</v>
      </c>
    </row>
    <row r="28" spans="1:11" x14ac:dyDescent="0.3">
      <c r="A28" s="9">
        <v>27</v>
      </c>
      <c r="B28" s="8" t="s">
        <v>120</v>
      </c>
      <c r="C28" s="11" t="s">
        <v>69</v>
      </c>
      <c r="D28" s="53"/>
      <c r="E28" s="9" t="s">
        <v>12</v>
      </c>
      <c r="F28" s="9" t="str" cm="1">
        <f t="array" ref="F28">INDEX(_xll.DUCKDB.EXEC($D$2,B28:C28),2)</f>
        <v>DOUBLE</v>
      </c>
      <c r="G28" s="9" t="str">
        <f t="shared" si="0"/>
        <v>PASS</v>
      </c>
      <c r="H28" s="53"/>
      <c r="I28" s="8">
        <v>2147483648</v>
      </c>
      <c r="J28" s="8" cm="1">
        <f t="array" ref="J28">INDEX(_xll.DUCKDB.EXEC($H$2,B28:C28),2)</f>
        <v>2147483648</v>
      </c>
      <c r="K28" s="9" t="str">
        <f t="shared" si="1"/>
        <v>PASS</v>
      </c>
    </row>
    <row r="29" spans="1:11" x14ac:dyDescent="0.3">
      <c r="A29" s="9">
        <v>28</v>
      </c>
      <c r="B29" s="8" t="s">
        <v>120</v>
      </c>
      <c r="C29" s="11" t="s">
        <v>142</v>
      </c>
      <c r="D29" s="53"/>
      <c r="E29" s="9" t="s">
        <v>12</v>
      </c>
      <c r="F29" s="9" t="str" cm="1">
        <f t="array" ref="F29">INDEX(_xll.DUCKDB.EXEC($D$2,B29:C29),2)</f>
        <v>DOUBLE</v>
      </c>
      <c r="G29" s="9" t="str">
        <f t="shared" ref="G29" si="27">IF(E29=F29,"PASS","FAIL")</f>
        <v>PASS</v>
      </c>
      <c r="H29" s="53"/>
      <c r="I29" s="8">
        <v>-2147483649</v>
      </c>
      <c r="J29" s="8" cm="1">
        <f t="array" ref="J29">INDEX(_xll.DUCKDB.EXEC($H$2,B29:C29),2)</f>
        <v>-2147483649</v>
      </c>
      <c r="K29" s="9" t="str">
        <f t="shared" ref="K29" si="28">IF(ISNA(I29),IF(ISNA(J29),"PASS","FAIL"),IFERROR(IF(I29=J29,"PASS","FAIL"),"FAIL"))</f>
        <v>PASS</v>
      </c>
    </row>
    <row r="30" spans="1:11" x14ac:dyDescent="0.3">
      <c r="A30" s="9">
        <v>29</v>
      </c>
      <c r="B30" s="8" t="s">
        <v>110</v>
      </c>
      <c r="C30" s="8" t="b">
        <v>1</v>
      </c>
      <c r="D30" s="53"/>
      <c r="E30" s="9" t="s">
        <v>7</v>
      </c>
      <c r="F30" s="9" t="str" cm="1">
        <f t="array" ref="F30">INDEX(_xll.DUCKDB.EXEC($D$2,B30:C30),2)</f>
        <v>BOOLEAN</v>
      </c>
      <c r="G30" s="9" t="str">
        <f t="shared" si="0"/>
        <v>PASS</v>
      </c>
      <c r="H30" s="53"/>
      <c r="I30" s="8" t="b">
        <f>C30</f>
        <v>1</v>
      </c>
      <c r="J30" s="8" t="b" cm="1">
        <f t="array" ref="J30">INDEX(_xll.DUCKDB.EXEC($H$2,B30:C30),2)</f>
        <v>1</v>
      </c>
      <c r="K30" s="9" t="str">
        <f t="shared" si="1"/>
        <v>PASS</v>
      </c>
    </row>
    <row r="31" spans="1:11" x14ac:dyDescent="0.3">
      <c r="A31" s="9">
        <v>30</v>
      </c>
      <c r="B31" s="8" t="s">
        <v>110</v>
      </c>
      <c r="C31" s="8" t="b">
        <v>0</v>
      </c>
      <c r="D31" s="53"/>
      <c r="E31" s="9" t="s">
        <v>7</v>
      </c>
      <c r="F31" s="9" t="str" cm="1">
        <f t="array" ref="F31">INDEX(_xll.DUCKDB.EXEC($D$2,B31:C31),2)</f>
        <v>BOOLEAN</v>
      </c>
      <c r="G31" s="9" t="str">
        <f t="shared" si="0"/>
        <v>PASS</v>
      </c>
      <c r="H31" s="53"/>
      <c r="I31" s="8" t="b">
        <f>C31</f>
        <v>0</v>
      </c>
      <c r="J31" s="8" t="b" cm="1">
        <f t="array" ref="J31">INDEX(_xll.DUCKDB.EXEC($H$2,B31:C31),2)</f>
        <v>0</v>
      </c>
      <c r="K31" s="9" t="str">
        <f t="shared" si="1"/>
        <v>PASS</v>
      </c>
    </row>
    <row r="32" spans="1:11" x14ac:dyDescent="0.3">
      <c r="A32" s="9">
        <v>31</v>
      </c>
      <c r="B32" s="8" t="s">
        <v>111</v>
      </c>
      <c r="C32" s="11" t="s">
        <v>70</v>
      </c>
      <c r="D32" s="53"/>
      <c r="E32" s="9" t="s">
        <v>7</v>
      </c>
      <c r="F32" s="9" t="str" cm="1">
        <f t="array" ref="F32">INDEX(_xll.DUCKDB.EXEC($D$2,B32:C32),2)</f>
        <v>BOOLEAN</v>
      </c>
      <c r="G32" s="9" t="str">
        <f t="shared" si="0"/>
        <v>PASS</v>
      </c>
      <c r="H32" s="53"/>
      <c r="I32" s="8" t="b">
        <v>1</v>
      </c>
      <c r="J32" s="8" t="b" cm="1">
        <f t="array" ref="J32">INDEX(_xll.DUCKDB.EXEC($H$2,B32:C32),2)</f>
        <v>1</v>
      </c>
      <c r="K32" s="9" t="str">
        <f t="shared" si="1"/>
        <v>PASS</v>
      </c>
    </row>
    <row r="33" spans="1:11" x14ac:dyDescent="0.3">
      <c r="A33" s="9">
        <v>32</v>
      </c>
      <c r="B33" s="8" t="s">
        <v>111</v>
      </c>
      <c r="C33" s="11" t="s">
        <v>71</v>
      </c>
      <c r="D33" s="53"/>
      <c r="E33" s="9" t="s">
        <v>7</v>
      </c>
      <c r="F33" s="9" t="str" cm="1">
        <f t="array" ref="F33">INDEX(_xll.DUCKDB.EXEC($D$2,B33:C33),2)</f>
        <v>BOOLEAN</v>
      </c>
      <c r="G33" s="9" t="str">
        <f t="shared" si="0"/>
        <v>PASS</v>
      </c>
      <c r="H33" s="53"/>
      <c r="I33" s="8" t="b">
        <v>0</v>
      </c>
      <c r="J33" s="8" t="b" cm="1">
        <f t="array" ref="J33">INDEX(_xll.DUCKDB.EXEC($H$2,B33:C33),2)</f>
        <v>0</v>
      </c>
      <c r="K33" s="9" t="str">
        <f t="shared" si="1"/>
        <v>PASS</v>
      </c>
    </row>
    <row r="34" spans="1:11" x14ac:dyDescent="0.3">
      <c r="A34" s="9">
        <v>33</v>
      </c>
      <c r="B34" s="8" t="s">
        <v>111</v>
      </c>
      <c r="C34" s="11" t="s">
        <v>72</v>
      </c>
      <c r="D34" s="53"/>
      <c r="E34" s="9" t="s">
        <v>7</v>
      </c>
      <c r="F34" s="9" t="str" cm="1">
        <f t="array" ref="F34">INDEX(_xll.DUCKDB.EXEC($D$2,B34:C34),2)</f>
        <v>BOOLEAN</v>
      </c>
      <c r="G34" s="9" t="str">
        <f t="shared" si="0"/>
        <v>PASS</v>
      </c>
      <c r="H34" s="53"/>
      <c r="I34" s="8" t="b">
        <v>1</v>
      </c>
      <c r="J34" s="8" t="b" cm="1">
        <f t="array" ref="J34">INDEX(_xll.DUCKDB.EXEC($H$2,B34:C34),2)</f>
        <v>1</v>
      </c>
      <c r="K34" s="9" t="str">
        <f t="shared" si="1"/>
        <v>PASS</v>
      </c>
    </row>
    <row r="35" spans="1:11" x14ac:dyDescent="0.3">
      <c r="A35" s="9">
        <v>34</v>
      </c>
      <c r="B35" s="8" t="s">
        <v>111</v>
      </c>
      <c r="C35" s="11" t="s">
        <v>73</v>
      </c>
      <c r="D35" s="53"/>
      <c r="E35" s="9" t="s">
        <v>7</v>
      </c>
      <c r="F35" s="9" t="str" cm="1">
        <f t="array" ref="F35">INDEX(_xll.DUCKDB.EXEC($D$2,B35:C35),2)</f>
        <v>BOOLEAN</v>
      </c>
      <c r="G35" s="9" t="str">
        <f t="shared" si="0"/>
        <v>PASS</v>
      </c>
      <c r="H35" s="53"/>
      <c r="I35" s="8" t="b">
        <v>0</v>
      </c>
      <c r="J35" s="8" t="b" cm="1">
        <f t="array" ref="J35">INDEX(_xll.DUCKDB.EXEC($H$2,B35:C35),2)</f>
        <v>0</v>
      </c>
      <c r="K35" s="9" t="str">
        <f t="shared" si="1"/>
        <v>PASS</v>
      </c>
    </row>
    <row r="36" spans="1:11" x14ac:dyDescent="0.3">
      <c r="A36" s="9">
        <v>35</v>
      </c>
      <c r="B36" s="8" t="s">
        <v>111</v>
      </c>
      <c r="C36" s="11" t="s">
        <v>76</v>
      </c>
      <c r="D36" s="53"/>
      <c r="E36" s="9" t="s">
        <v>7</v>
      </c>
      <c r="F36" s="9" t="str" cm="1">
        <f t="array" ref="F36">INDEX(_xll.DUCKDB.EXEC($D$2,B36:C36),2)</f>
        <v>BOOLEAN</v>
      </c>
      <c r="G36" s="9" t="str">
        <f t="shared" si="0"/>
        <v>PASS</v>
      </c>
      <c r="H36" s="53"/>
      <c r="I36" s="8" t="b">
        <v>1</v>
      </c>
      <c r="J36" s="8" t="b" cm="1">
        <f t="array" ref="J36">INDEX(_xll.DUCKDB.EXEC($H$2,B36:C36),2)</f>
        <v>1</v>
      </c>
      <c r="K36" s="9" t="str">
        <f t="shared" si="1"/>
        <v>PASS</v>
      </c>
    </row>
    <row r="37" spans="1:11" x14ac:dyDescent="0.3">
      <c r="A37" s="9">
        <v>36</v>
      </c>
      <c r="B37" s="8" t="s">
        <v>111</v>
      </c>
      <c r="C37" s="11" t="s">
        <v>77</v>
      </c>
      <c r="D37" s="53"/>
      <c r="E37" s="9" t="s">
        <v>7</v>
      </c>
      <c r="F37" s="9" t="str" cm="1">
        <f t="array" ref="F37">INDEX(_xll.DUCKDB.EXEC($D$2,B37:C37),2)</f>
        <v>BOOLEAN</v>
      </c>
      <c r="G37" s="9" t="str">
        <f t="shared" si="0"/>
        <v>PASS</v>
      </c>
      <c r="H37" s="53"/>
      <c r="I37" s="8" t="b">
        <v>0</v>
      </c>
      <c r="J37" s="8" t="b" cm="1">
        <f t="array" ref="J37">INDEX(_xll.DUCKDB.EXEC($H$2,B37:C37),2)</f>
        <v>0</v>
      </c>
      <c r="K37" s="9" t="str">
        <f t="shared" si="1"/>
        <v>PASS</v>
      </c>
    </row>
    <row r="38" spans="1:11" x14ac:dyDescent="0.3">
      <c r="A38" s="9">
        <v>37</v>
      </c>
      <c r="B38" s="8" t="s">
        <v>111</v>
      </c>
      <c r="C38" s="11" t="s">
        <v>78</v>
      </c>
      <c r="D38" s="53"/>
      <c r="E38" s="9" t="s">
        <v>7</v>
      </c>
      <c r="F38" s="9" t="str" cm="1">
        <f t="array" ref="F38">INDEX(_xll.DUCKDB.EXEC($D$2,B38:C38),2)</f>
        <v>BOOLEAN</v>
      </c>
      <c r="G38" s="9" t="str">
        <f t="shared" si="0"/>
        <v>PASS</v>
      </c>
      <c r="H38" s="53"/>
      <c r="I38" s="8" t="b">
        <v>1</v>
      </c>
      <c r="J38" s="8" t="b" cm="1">
        <f t="array" ref="J38">INDEX(_xll.DUCKDB.EXEC($H$2,B38:C38),2)</f>
        <v>1</v>
      </c>
      <c r="K38" s="9" t="str">
        <f t="shared" si="1"/>
        <v>PASS</v>
      </c>
    </row>
    <row r="39" spans="1:11" x14ac:dyDescent="0.3">
      <c r="A39" s="9">
        <v>38</v>
      </c>
      <c r="B39" s="8" t="s">
        <v>111</v>
      </c>
      <c r="C39" s="11" t="s">
        <v>79</v>
      </c>
      <c r="D39" s="53"/>
      <c r="E39" s="9" t="s">
        <v>7</v>
      </c>
      <c r="F39" s="9" t="str" cm="1">
        <f t="array" ref="F39">INDEX(_xll.DUCKDB.EXEC($D$2,B39:C39),2)</f>
        <v>BOOLEAN</v>
      </c>
      <c r="G39" s="9" t="str">
        <f t="shared" si="0"/>
        <v>PASS</v>
      </c>
      <c r="H39" s="53"/>
      <c r="I39" s="8" t="b">
        <v>0</v>
      </c>
      <c r="J39" s="8" t="b" cm="1">
        <f t="array" ref="J39">INDEX(_xll.DUCKDB.EXEC($H$2,B39:C39),2)</f>
        <v>0</v>
      </c>
      <c r="K39" s="9" t="str">
        <f t="shared" si="1"/>
        <v>PASS</v>
      </c>
    </row>
    <row r="40" spans="1:11" x14ac:dyDescent="0.3">
      <c r="A40" s="9">
        <v>39</v>
      </c>
      <c r="B40" s="8" t="s">
        <v>112</v>
      </c>
      <c r="C40" s="8" t="s">
        <v>80</v>
      </c>
      <c r="D40" s="53"/>
      <c r="E40" s="9" t="s">
        <v>7</v>
      </c>
      <c r="F40" s="9" t="str" cm="1">
        <f t="array" ref="F40">INDEX(_xll.DUCKDB.EXEC($D$2,B40:C40),2)</f>
        <v>BOOLEAN</v>
      </c>
      <c r="G40" s="9" t="str">
        <f t="shared" ref="G40:G47" si="29">IF(E40=F40,"PASS","FAIL")</f>
        <v>PASS</v>
      </c>
      <c r="H40" s="53"/>
      <c r="I40" s="8" t="b">
        <v>1</v>
      </c>
      <c r="J40" s="8" t="b" cm="1">
        <f t="array" ref="J40">INDEX(_xll.DUCKDB.EXEC($H$2,B40:C40),2)</f>
        <v>1</v>
      </c>
      <c r="K40" s="9" t="str">
        <f t="shared" si="1"/>
        <v>PASS</v>
      </c>
    </row>
    <row r="41" spans="1:11" x14ac:dyDescent="0.3">
      <c r="A41" s="9">
        <v>40</v>
      </c>
      <c r="B41" s="8" t="s">
        <v>112</v>
      </c>
      <c r="C41" s="8" t="s">
        <v>81</v>
      </c>
      <c r="D41" s="53"/>
      <c r="E41" s="9" t="s">
        <v>7</v>
      </c>
      <c r="F41" s="9" t="str" cm="1">
        <f t="array" ref="F41">INDEX(_xll.DUCKDB.EXEC($D$2,B41:C41),2)</f>
        <v>BOOLEAN</v>
      </c>
      <c r="G41" s="9" t="str">
        <f t="shared" si="29"/>
        <v>PASS</v>
      </c>
      <c r="H41" s="53"/>
      <c r="I41" s="8" t="b">
        <v>0</v>
      </c>
      <c r="J41" s="8" t="b" cm="1">
        <f t="array" ref="J41">INDEX(_xll.DUCKDB.EXEC($H$2,B41:C41),2)</f>
        <v>0</v>
      </c>
      <c r="K41" s="9" t="str">
        <f t="shared" si="1"/>
        <v>PASS</v>
      </c>
    </row>
    <row r="42" spans="1:11" x14ac:dyDescent="0.3">
      <c r="A42" s="9">
        <v>41</v>
      </c>
      <c r="B42" s="8" t="s">
        <v>112</v>
      </c>
      <c r="C42" s="8" t="s">
        <v>82</v>
      </c>
      <c r="D42" s="53"/>
      <c r="E42" s="9" t="s">
        <v>7</v>
      </c>
      <c r="F42" s="9" t="str" cm="1">
        <f t="array" ref="F42">INDEX(_xll.DUCKDB.EXEC($D$2,B42:C42),2)</f>
        <v>BOOLEAN</v>
      </c>
      <c r="G42" s="9" t="str">
        <f t="shared" si="29"/>
        <v>PASS</v>
      </c>
      <c r="H42" s="53"/>
      <c r="I42" s="8" t="b">
        <v>1</v>
      </c>
      <c r="J42" s="8" t="b" cm="1">
        <f t="array" ref="J42">INDEX(_xll.DUCKDB.EXEC($H$2,B42:C42),2)</f>
        <v>1</v>
      </c>
      <c r="K42" s="9" t="str">
        <f t="shared" si="1"/>
        <v>PASS</v>
      </c>
    </row>
    <row r="43" spans="1:11" x14ac:dyDescent="0.3">
      <c r="A43" s="9">
        <v>42</v>
      </c>
      <c r="B43" s="8" t="s">
        <v>112</v>
      </c>
      <c r="C43" s="8" t="s">
        <v>83</v>
      </c>
      <c r="D43" s="53"/>
      <c r="E43" s="9" t="s">
        <v>7</v>
      </c>
      <c r="F43" s="9" t="str" cm="1">
        <f t="array" ref="F43">INDEX(_xll.DUCKDB.EXEC($D$2,B43:C43),2)</f>
        <v>BOOLEAN</v>
      </c>
      <c r="G43" s="9" t="str">
        <f t="shared" si="29"/>
        <v>PASS</v>
      </c>
      <c r="H43" s="53"/>
      <c r="I43" s="8" t="b">
        <v>0</v>
      </c>
      <c r="J43" s="8" t="b" cm="1">
        <f t="array" ref="J43">INDEX(_xll.DUCKDB.EXEC($H$2,B43:C43),2)</f>
        <v>0</v>
      </c>
      <c r="K43" s="9" t="str">
        <f t="shared" si="1"/>
        <v>PASS</v>
      </c>
    </row>
    <row r="44" spans="1:11" x14ac:dyDescent="0.3">
      <c r="A44" s="9">
        <v>43</v>
      </c>
      <c r="B44" s="8" t="s">
        <v>112</v>
      </c>
      <c r="C44" s="8" t="s">
        <v>84</v>
      </c>
      <c r="D44" s="53"/>
      <c r="E44" s="9" t="s">
        <v>7</v>
      </c>
      <c r="F44" s="9" t="str" cm="1">
        <f t="array" ref="F44">INDEX(_xll.DUCKDB.EXEC($D$2,B44:C44),2)</f>
        <v>BOOLEAN</v>
      </c>
      <c r="G44" s="9" t="str">
        <f t="shared" si="29"/>
        <v>PASS</v>
      </c>
      <c r="H44" s="53"/>
      <c r="I44" s="8" t="b">
        <v>1</v>
      </c>
      <c r="J44" s="8" t="b" cm="1">
        <f t="array" ref="J44">INDEX(_xll.DUCKDB.EXEC($H$2,B44:C44),2)</f>
        <v>1</v>
      </c>
      <c r="K44" s="9" t="str">
        <f t="shared" si="1"/>
        <v>PASS</v>
      </c>
    </row>
    <row r="45" spans="1:11" x14ac:dyDescent="0.3">
      <c r="A45" s="9">
        <v>44</v>
      </c>
      <c r="B45" s="8" t="s">
        <v>112</v>
      </c>
      <c r="C45" s="8" t="s">
        <v>85</v>
      </c>
      <c r="D45" s="53"/>
      <c r="E45" s="9" t="s">
        <v>7</v>
      </c>
      <c r="F45" s="9" t="str" cm="1">
        <f t="array" ref="F45">INDEX(_xll.DUCKDB.EXEC($D$2,B45:C45),2)</f>
        <v>BOOLEAN</v>
      </c>
      <c r="G45" s="9" t="str">
        <f t="shared" si="29"/>
        <v>PASS</v>
      </c>
      <c r="H45" s="53"/>
      <c r="I45" s="8" t="b">
        <v>0</v>
      </c>
      <c r="J45" s="8" t="b" cm="1">
        <f t="array" ref="J45">INDEX(_xll.DUCKDB.EXEC($H$2,B45:C45),2)</f>
        <v>0</v>
      </c>
      <c r="K45" s="9" t="str">
        <f t="shared" si="1"/>
        <v>PASS</v>
      </c>
    </row>
    <row r="46" spans="1:11" x14ac:dyDescent="0.3">
      <c r="A46" s="9">
        <v>45</v>
      </c>
      <c r="B46" s="8" t="s">
        <v>112</v>
      </c>
      <c r="C46" s="8" t="s">
        <v>86</v>
      </c>
      <c r="D46" s="53"/>
      <c r="E46" s="9" t="s">
        <v>7</v>
      </c>
      <c r="F46" s="9" t="str" cm="1">
        <f t="array" ref="F46">INDEX(_xll.DUCKDB.EXEC($D$2,B46:C46),2)</f>
        <v>BOOLEAN</v>
      </c>
      <c r="G46" s="9" t="str">
        <f t="shared" si="29"/>
        <v>PASS</v>
      </c>
      <c r="H46" s="53"/>
      <c r="I46" s="8" t="b">
        <v>1</v>
      </c>
      <c r="J46" s="8" t="b" cm="1">
        <f t="array" ref="J46">INDEX(_xll.DUCKDB.EXEC($H$2,B46:C46),2)</f>
        <v>1</v>
      </c>
      <c r="K46" s="9" t="str">
        <f t="shared" si="1"/>
        <v>PASS</v>
      </c>
    </row>
    <row r="47" spans="1:11" x14ac:dyDescent="0.3">
      <c r="A47" s="9">
        <v>46</v>
      </c>
      <c r="B47" s="8" t="s">
        <v>112</v>
      </c>
      <c r="C47" s="8" t="s">
        <v>87</v>
      </c>
      <c r="D47" s="53"/>
      <c r="E47" s="9" t="s">
        <v>7</v>
      </c>
      <c r="F47" s="9" t="str" cm="1">
        <f t="array" ref="F47">INDEX(_xll.DUCKDB.EXEC($D$2,B47:C47),2)</f>
        <v>BOOLEAN</v>
      </c>
      <c r="G47" s="9" t="str">
        <f t="shared" si="29"/>
        <v>PASS</v>
      </c>
      <c r="H47" s="53"/>
      <c r="I47" s="8" t="b">
        <v>0</v>
      </c>
      <c r="J47" s="8" t="b" cm="1">
        <f t="array" ref="J47">INDEX(_xll.DUCKDB.EXEC($H$2,B47:C47),2)</f>
        <v>0</v>
      </c>
      <c r="K47" s="9" t="str">
        <f t="shared" si="1"/>
        <v>PASS</v>
      </c>
    </row>
    <row r="48" spans="1:11" x14ac:dyDescent="0.3">
      <c r="A48" s="9">
        <v>47</v>
      </c>
      <c r="B48" s="8" t="s">
        <v>113</v>
      </c>
      <c r="C48" s="8"/>
      <c r="D48" s="53"/>
      <c r="E48" s="9" t="s">
        <v>8</v>
      </c>
      <c r="F48" s="9" t="str" cm="1">
        <f t="array" ref="F48">INDEX(_xll.DUCKDB.EXEC($D$2,B48:C48),2)</f>
        <v>VARCHAR</v>
      </c>
      <c r="G48" s="9" t="str">
        <f t="shared" ref="G48" si="30">IF(E48=F48,"PASS","FAIL")</f>
        <v>PASS</v>
      </c>
      <c r="H48" s="53"/>
      <c r="I48" s="8" t="e">
        <v>#N/A</v>
      </c>
      <c r="J48" s="8" t="e" cm="1">
        <f t="array" ref="J48">INDEX(_xll.DUCKDB.EXEC($H$2,B48:C48),2)</f>
        <v>#N/A</v>
      </c>
      <c r="K48" s="9" t="str">
        <f t="shared" si="1"/>
        <v>PASS</v>
      </c>
    </row>
    <row r="49" spans="1:11" x14ac:dyDescent="0.3">
      <c r="A49" s="9">
        <v>48</v>
      </c>
      <c r="B49" s="8" t="s">
        <v>114</v>
      </c>
      <c r="C49" s="8" t="s">
        <v>42</v>
      </c>
      <c r="D49" s="53"/>
      <c r="E49" s="9" t="s">
        <v>8</v>
      </c>
      <c r="F49" s="9" t="str" cm="1">
        <f t="array" ref="F49">INDEX(_xll.DUCKDB.EXEC($D$2,B49:C49),2)</f>
        <v>VARCHAR</v>
      </c>
      <c r="G49" s="9" t="str">
        <f t="shared" ref="G49:G56" si="31">IF(E49=F49,"PASS","FAIL")</f>
        <v>PASS</v>
      </c>
      <c r="H49" s="53"/>
      <c r="I49" s="8" t="e">
        <v>#N/A</v>
      </c>
      <c r="J49" s="8" t="e" cm="1">
        <f t="array" ref="J49">INDEX(_xll.DUCKDB.EXEC($H$2,B49:C49),2)</f>
        <v>#N/A</v>
      </c>
      <c r="K49" s="9" t="str">
        <f t="shared" si="1"/>
        <v>PASS</v>
      </c>
    </row>
    <row r="50" spans="1:11" x14ac:dyDescent="0.3">
      <c r="A50" s="9">
        <v>49</v>
      </c>
      <c r="B50" s="8" t="s">
        <v>114</v>
      </c>
      <c r="C50" s="8" t="s">
        <v>88</v>
      </c>
      <c r="D50" s="53"/>
      <c r="E50" s="9" t="s">
        <v>8</v>
      </c>
      <c r="F50" s="9" t="str" cm="1">
        <f t="array" ref="F50">INDEX(_xll.DUCKDB.EXEC($D$2,B50:C50),2)</f>
        <v>VARCHAR</v>
      </c>
      <c r="G50" s="9" t="str">
        <f t="shared" si="31"/>
        <v>PASS</v>
      </c>
      <c r="H50" s="53"/>
      <c r="I50" s="8" t="e">
        <v>#N/A</v>
      </c>
      <c r="J50" s="8" t="e" cm="1">
        <f t="array" ref="J50">INDEX(_xll.DUCKDB.EXEC($H$2,B50:C50),2)</f>
        <v>#N/A</v>
      </c>
      <c r="K50" s="9" t="str">
        <f t="shared" si="1"/>
        <v>PASS</v>
      </c>
    </row>
    <row r="51" spans="1:11" x14ac:dyDescent="0.3">
      <c r="A51" s="9">
        <v>50</v>
      </c>
      <c r="B51" s="8" t="s">
        <v>114</v>
      </c>
      <c r="C51" s="8" t="s">
        <v>89</v>
      </c>
      <c r="D51" s="53"/>
      <c r="E51" s="9" t="s">
        <v>8</v>
      </c>
      <c r="F51" s="9" t="str" cm="1">
        <f t="array" ref="F51">INDEX(_xll.DUCKDB.EXEC($D$2,B51:C51),2)</f>
        <v>VARCHAR</v>
      </c>
      <c r="G51" s="9" t="str">
        <f t="shared" si="31"/>
        <v>PASS</v>
      </c>
      <c r="H51" s="53"/>
      <c r="I51" s="8" t="e">
        <v>#N/A</v>
      </c>
      <c r="J51" s="8" t="e" cm="1">
        <f t="array" ref="J51">INDEX(_xll.DUCKDB.EXEC($H$2,B51:C51),2)</f>
        <v>#N/A</v>
      </c>
      <c r="K51" s="9" t="str">
        <f t="shared" si="1"/>
        <v>PASS</v>
      </c>
    </row>
    <row r="52" spans="1:11" x14ac:dyDescent="0.3">
      <c r="A52" s="9">
        <v>51</v>
      </c>
      <c r="B52" s="8" t="s">
        <v>114</v>
      </c>
      <c r="C52" s="8" t="s">
        <v>90</v>
      </c>
      <c r="D52" s="53"/>
      <c r="E52" s="9" t="s">
        <v>8</v>
      </c>
      <c r="F52" s="9" t="str" cm="1">
        <f t="array" ref="F52">INDEX(_xll.DUCKDB.EXEC($D$2,B52:C52),2)</f>
        <v>VARCHAR</v>
      </c>
      <c r="G52" s="9" t="str">
        <f t="shared" si="31"/>
        <v>PASS</v>
      </c>
      <c r="H52" s="53"/>
      <c r="I52" s="8" t="e">
        <v>#N/A</v>
      </c>
      <c r="J52" s="8" t="e" cm="1">
        <f t="array" ref="J52">INDEX(_xll.DUCKDB.EXEC($H$2,B52:C52),2)</f>
        <v>#N/A</v>
      </c>
      <c r="K52" s="9" t="str">
        <f t="shared" si="1"/>
        <v>PASS</v>
      </c>
    </row>
    <row r="53" spans="1:11" x14ac:dyDescent="0.3">
      <c r="A53" s="9">
        <v>52</v>
      </c>
      <c r="B53" s="8" t="s">
        <v>115</v>
      </c>
      <c r="C53" s="8" t="s">
        <v>91</v>
      </c>
      <c r="D53" s="53"/>
      <c r="E53" s="9" t="s">
        <v>8</v>
      </c>
      <c r="F53" s="9" t="str" cm="1">
        <f t="array" ref="F53">INDEX(_xll.DUCKDB.EXEC($D$2,B53:C53),2)</f>
        <v>VARCHAR</v>
      </c>
      <c r="G53" s="9" t="str">
        <f t="shared" si="31"/>
        <v>PASS</v>
      </c>
      <c r="H53" s="53"/>
      <c r="I53" s="8" t="e">
        <v>#N/A</v>
      </c>
      <c r="J53" s="8" t="e" cm="1">
        <f t="array" ref="J53">INDEX(_xll.DUCKDB.EXEC($H$2,B53:C53),2)</f>
        <v>#N/A</v>
      </c>
      <c r="K53" s="9" t="str">
        <f t="shared" si="1"/>
        <v>PASS</v>
      </c>
    </row>
    <row r="54" spans="1:11" x14ac:dyDescent="0.3">
      <c r="A54" s="9">
        <v>53</v>
      </c>
      <c r="B54" s="8" t="s">
        <v>115</v>
      </c>
      <c r="C54" s="8" t="s">
        <v>92</v>
      </c>
      <c r="D54" s="53"/>
      <c r="E54" s="9" t="s">
        <v>8</v>
      </c>
      <c r="F54" s="9" t="str" cm="1">
        <f t="array" ref="F54">INDEX(_xll.DUCKDB.EXEC($D$2,B54:C54),2)</f>
        <v>VARCHAR</v>
      </c>
      <c r="G54" s="9" t="str">
        <f t="shared" si="31"/>
        <v>PASS</v>
      </c>
      <c r="H54" s="53"/>
      <c r="I54" s="8" t="e">
        <v>#N/A</v>
      </c>
      <c r="J54" s="8" t="e" cm="1">
        <f t="array" ref="J54">INDEX(_xll.DUCKDB.EXEC($H$2,B54:C54),2)</f>
        <v>#N/A</v>
      </c>
      <c r="K54" s="9" t="str">
        <f t="shared" si="1"/>
        <v>PASS</v>
      </c>
    </row>
    <row r="55" spans="1:11" x14ac:dyDescent="0.3">
      <c r="A55" s="9">
        <v>54</v>
      </c>
      <c r="B55" s="8" t="s">
        <v>115</v>
      </c>
      <c r="C55" s="8" t="s">
        <v>93</v>
      </c>
      <c r="D55" s="53"/>
      <c r="E55" s="9" t="s">
        <v>8</v>
      </c>
      <c r="F55" s="9" t="str" cm="1">
        <f t="array" ref="F55">INDEX(_xll.DUCKDB.EXEC($D$2,B55:C55),2)</f>
        <v>VARCHAR</v>
      </c>
      <c r="G55" s="9" t="str">
        <f t="shared" si="31"/>
        <v>PASS</v>
      </c>
      <c r="H55" s="53"/>
      <c r="I55" s="8" t="e">
        <v>#N/A</v>
      </c>
      <c r="J55" s="8" t="e" cm="1">
        <f t="array" ref="J55">INDEX(_xll.DUCKDB.EXEC($H$2,B55:C55),2)</f>
        <v>#N/A</v>
      </c>
      <c r="K55" s="9" t="str">
        <f t="shared" si="1"/>
        <v>PASS</v>
      </c>
    </row>
    <row r="56" spans="1:11" x14ac:dyDescent="0.3">
      <c r="A56" s="9">
        <v>55</v>
      </c>
      <c r="B56" s="8" t="s">
        <v>115</v>
      </c>
      <c r="C56" s="8" t="s">
        <v>94</v>
      </c>
      <c r="D56" s="53"/>
      <c r="E56" s="9" t="s">
        <v>8</v>
      </c>
      <c r="F56" s="9" t="str" cm="1">
        <f t="array" ref="F56">INDEX(_xll.DUCKDB.EXEC($D$2,B56:C56),2)</f>
        <v>VARCHAR</v>
      </c>
      <c r="G56" s="9" t="str">
        <f t="shared" si="31"/>
        <v>PASS</v>
      </c>
      <c r="H56" s="53"/>
      <c r="I56" s="8" t="e">
        <v>#N/A</v>
      </c>
      <c r="J56" s="8" t="e" cm="1">
        <f t="array" ref="J56">INDEX(_xll.DUCKDB.EXEC($H$2,B56:C56),2)</f>
        <v>#N/A</v>
      </c>
      <c r="K56" s="9" t="str">
        <f t="shared" si="1"/>
        <v>PASS</v>
      </c>
    </row>
    <row r="57" spans="1:11" x14ac:dyDescent="0.3">
      <c r="A57" s="9">
        <v>56</v>
      </c>
      <c r="B57" s="8" t="s">
        <v>116</v>
      </c>
      <c r="C57" s="8" t="e">
        <v>#N/A</v>
      </c>
      <c r="D57" s="53"/>
      <c r="E57" s="9" t="s">
        <v>8</v>
      </c>
      <c r="F57" s="9" t="str" cm="1">
        <f t="array" ref="F57">INDEX(_xll.DUCKDB.EXEC($D$2,B57:C57),2)</f>
        <v>VARCHAR</v>
      </c>
      <c r="G57" s="9" t="str">
        <f t="shared" ref="G57:G60" si="32">IF(E57=F57,"PASS","FAIL")</f>
        <v>PASS</v>
      </c>
      <c r="H57" s="53"/>
      <c r="I57" s="8" t="e">
        <v>#N/A</v>
      </c>
      <c r="J57" s="8" t="e" cm="1">
        <f t="array" ref="J57">INDEX(_xll.DUCKDB.EXEC($H$2,B57:C57),2)</f>
        <v>#N/A</v>
      </c>
      <c r="K57" s="9" t="str">
        <f t="shared" si="1"/>
        <v>PASS</v>
      </c>
    </row>
    <row r="58" spans="1:11" x14ac:dyDescent="0.3">
      <c r="A58" s="9">
        <v>57</v>
      </c>
      <c r="B58" s="8" t="s">
        <v>116</v>
      </c>
      <c r="C58" s="8" t="e">
        <v>#NUM!</v>
      </c>
      <c r="D58" s="53"/>
      <c r="E58" s="9" t="s">
        <v>8</v>
      </c>
      <c r="F58" s="9" t="str" cm="1">
        <f t="array" ref="F58">INDEX(_xll.DUCKDB.EXEC($D$2,B58:C58),2)</f>
        <v>VARCHAR</v>
      </c>
      <c r="G58" s="9" t="str">
        <f t="shared" si="32"/>
        <v>PASS</v>
      </c>
      <c r="H58" s="53"/>
      <c r="I58" s="8" t="e">
        <v>#N/A</v>
      </c>
      <c r="J58" s="8" t="e" cm="1">
        <f t="array" ref="J58">INDEX(_xll.DUCKDB.EXEC($H$2,B58:C58),2)</f>
        <v>#N/A</v>
      </c>
      <c r="K58" s="9" t="str">
        <f t="shared" si="1"/>
        <v>PASS</v>
      </c>
    </row>
    <row r="59" spans="1:11" x14ac:dyDescent="0.3">
      <c r="A59" s="9">
        <v>58</v>
      </c>
      <c r="B59" s="8" t="s">
        <v>116</v>
      </c>
      <c r="C59" s="8" t="e">
        <v>#REF!</v>
      </c>
      <c r="D59" s="53"/>
      <c r="E59" s="9" t="s">
        <v>8</v>
      </c>
      <c r="F59" s="9" t="str" cm="1">
        <f t="array" ref="F59">INDEX(_xll.DUCKDB.EXEC($D$2,B59:C59),2)</f>
        <v>VARCHAR</v>
      </c>
      <c r="G59" s="9" t="str">
        <f t="shared" si="32"/>
        <v>PASS</v>
      </c>
      <c r="H59" s="53"/>
      <c r="I59" s="8" t="e">
        <v>#N/A</v>
      </c>
      <c r="J59" s="8" t="e" cm="1">
        <f t="array" ref="J59">INDEX(_xll.DUCKDB.EXEC($H$2,B59:C59),2)</f>
        <v>#N/A</v>
      </c>
      <c r="K59" s="9" t="str">
        <f t="shared" si="1"/>
        <v>PASS</v>
      </c>
    </row>
    <row r="60" spans="1:11" x14ac:dyDescent="0.3">
      <c r="A60" s="9">
        <v>59</v>
      </c>
      <c r="B60" s="8" t="s">
        <v>116</v>
      </c>
      <c r="C60" s="8" t="e">
        <v>#DIV/0!</v>
      </c>
      <c r="D60" s="53"/>
      <c r="E60" s="9" t="s">
        <v>8</v>
      </c>
      <c r="F60" s="9" t="str" cm="1">
        <f t="array" ref="F60">INDEX(_xll.DUCKDB.EXEC($D$2,B60:C60),2)</f>
        <v>VARCHAR</v>
      </c>
      <c r="G60" s="9" t="str">
        <f t="shared" si="32"/>
        <v>PASS</v>
      </c>
      <c r="H60" s="53"/>
      <c r="I60" s="8" t="e">
        <v>#N/A</v>
      </c>
      <c r="J60" s="8" t="e" cm="1">
        <f t="array" ref="J60">INDEX(_xll.DUCKDB.EXEC($H$2,B60:C60),2)</f>
        <v>#N/A</v>
      </c>
      <c r="K60" s="9" t="str">
        <f t="shared" si="1"/>
        <v>PASS</v>
      </c>
    </row>
    <row r="61" spans="1:11" x14ac:dyDescent="0.3">
      <c r="A61" s="9">
        <v>60</v>
      </c>
      <c r="B61" s="8" t="s">
        <v>117</v>
      </c>
      <c r="C61" s="8" t="s">
        <v>45</v>
      </c>
      <c r="D61" s="53"/>
      <c r="E61" s="9" t="s">
        <v>8</v>
      </c>
      <c r="F61" s="9" t="str" cm="1">
        <f t="array" ref="F61">INDEX(_xll.DUCKDB.EXEC($D$2,B61:C61),2)</f>
        <v>VARCHAR</v>
      </c>
      <c r="G61" s="9" t="str">
        <f t="shared" ref="G61:G63" si="33">IF(E61=F61,"PASS","FAIL")</f>
        <v>PASS</v>
      </c>
      <c r="H61" s="53"/>
      <c r="I61" s="8" t="str">
        <f>C61</f>
        <v>abc</v>
      </c>
      <c r="J61" s="8" t="str" cm="1">
        <f t="array" ref="J61">INDEX(_xll.DUCKDB.EXEC($H$2,B61:C61),2)</f>
        <v>abc</v>
      </c>
      <c r="K61" s="9" t="str">
        <f t="shared" si="1"/>
        <v>PASS</v>
      </c>
    </row>
    <row r="62" spans="1:11" x14ac:dyDescent="0.3">
      <c r="A62" s="9">
        <v>61</v>
      </c>
      <c r="B62" s="8" t="s">
        <v>121</v>
      </c>
      <c r="C62" s="8" t="s">
        <v>122</v>
      </c>
      <c r="D62" s="53"/>
      <c r="E62" s="9" t="s">
        <v>8</v>
      </c>
      <c r="F62" s="9" t="str" cm="1">
        <f t="array" ref="F62">INDEX(_xll.DUCKDB.EXEC($D$2,B62:C62),2)</f>
        <v>VARCHAR</v>
      </c>
      <c r="G62" s="9" t="str">
        <f t="shared" ref="G62" si="34">IF(E62=F62,"PASS","FAIL")</f>
        <v>PASS</v>
      </c>
      <c r="H62" s="53"/>
      <c r="I62" s="8" t="e">
        <v>#N/A</v>
      </c>
      <c r="J62" s="8" t="e" cm="1">
        <f t="array" ref="J62">INDEX(_xll.DUCKDB.EXEC($H$2,B62:C62),2)</f>
        <v>#N/A</v>
      </c>
      <c r="K62" s="9" t="str">
        <f t="shared" ref="K62" si="35">IF(ISNA(I62),IF(ISNA(J62),"PASS","FAIL"),IFERROR(IF(I62=J62,"PASS","FAIL"),"FAIL"))</f>
        <v>PASS</v>
      </c>
    </row>
    <row r="63" spans="1:11" x14ac:dyDescent="0.3">
      <c r="A63" s="9">
        <v>62</v>
      </c>
      <c r="B63" s="8" t="s">
        <v>118</v>
      </c>
      <c r="C63" s="8" t="s">
        <v>95</v>
      </c>
      <c r="D63" s="53"/>
      <c r="E63" s="9" t="s">
        <v>8</v>
      </c>
      <c r="F63" s="9" t="str" cm="1">
        <f t="array" ref="F63">INDEX(_xll.DUCKDB.EXEC($D$2,B63:C63),2)</f>
        <v>VARCHAR</v>
      </c>
      <c r="G63" s="9" t="str">
        <f t="shared" si="33"/>
        <v>PASS</v>
      </c>
      <c r="H63" s="53"/>
      <c r="I63" s="8" t="str">
        <f>C63</f>
        <v xml:space="preserve">    abc    </v>
      </c>
      <c r="J63" s="8" t="str" cm="1">
        <f t="array" ref="J63">INDEX(_xll.DUCKDB.EXEC($H$2,B63:C63),2)</f>
        <v xml:space="preserve">    abc    </v>
      </c>
      <c r="K63" s="9" t="str">
        <f t="shared" si="1"/>
        <v>PASS</v>
      </c>
    </row>
    <row r="64" spans="1:11" x14ac:dyDescent="0.3">
      <c r="A64" s="9">
        <v>63</v>
      </c>
      <c r="B64" s="8" t="s">
        <v>117</v>
      </c>
      <c r="C64" s="8" t="s">
        <v>125</v>
      </c>
      <c r="D64" s="53"/>
      <c r="E64" s="9" t="s">
        <v>8</v>
      </c>
      <c r="F64" s="9" t="str" cm="1">
        <f t="array" ref="F64">INDEX(_xll.DUCKDB.EXEC($D$2,B64:C64),2)</f>
        <v>VARCHAR</v>
      </c>
      <c r="G64" s="9" t="str">
        <f t="shared" ref="G64:G70" si="36">IF(E64=F64,"PASS","FAIL")</f>
        <v>PASS</v>
      </c>
      <c r="H64" s="53"/>
      <c r="I64" s="8" t="str">
        <f t="shared" ref="I64:I68" si="37">C64</f>
        <v>NA</v>
      </c>
      <c r="J64" s="8" t="str" cm="1">
        <f t="array" ref="J64">INDEX(_xll.DUCKDB.EXEC($H$2,B64:C64),2)</f>
        <v>NA</v>
      </c>
      <c r="K64" s="9" t="str">
        <f t="shared" ref="K64:K70" si="38">IF(ISNA(I64),IF(ISNA(J64),"PASS","FAIL"),IFERROR(IF(I64=J64,"PASS","FAIL"),"FAIL"))</f>
        <v>PASS</v>
      </c>
    </row>
    <row r="65" spans="1:11" x14ac:dyDescent="0.3">
      <c r="A65" s="9">
        <v>64</v>
      </c>
      <c r="B65" s="8" t="s">
        <v>117</v>
      </c>
      <c r="C65" s="8" t="s">
        <v>126</v>
      </c>
      <c r="D65" s="53"/>
      <c r="E65" s="9" t="s">
        <v>8</v>
      </c>
      <c r="F65" s="9" t="str" cm="1">
        <f t="array" ref="F65">INDEX(_xll.DUCKDB.EXEC($D$2,B65:C65),2)</f>
        <v>VARCHAR</v>
      </c>
      <c r="G65" s="9" t="str">
        <f t="shared" si="36"/>
        <v>PASS</v>
      </c>
      <c r="H65" s="53"/>
      <c r="I65" s="8" t="str">
        <f t="shared" si="37"/>
        <v>NONE</v>
      </c>
      <c r="J65" s="8" t="str" cm="1">
        <f t="array" ref="J65">INDEX(_xll.DUCKDB.EXEC($H$2,B65:C65),2)</f>
        <v>NONE</v>
      </c>
      <c r="K65" s="9" t="str">
        <f t="shared" si="38"/>
        <v>PASS</v>
      </c>
    </row>
    <row r="66" spans="1:11" x14ac:dyDescent="0.3">
      <c r="A66" s="9">
        <v>65</v>
      </c>
      <c r="B66" s="8" t="s">
        <v>117</v>
      </c>
      <c r="C66" s="8" t="s">
        <v>127</v>
      </c>
      <c r="D66" s="53"/>
      <c r="E66" s="9" t="s">
        <v>8</v>
      </c>
      <c r="F66" s="9" t="str" cm="1">
        <f t="array" ref="F66">INDEX(_xll.DUCKDB.EXEC($D$2,B66:C66),2)</f>
        <v>VARCHAR</v>
      </c>
      <c r="G66" s="9" t="str">
        <f t="shared" si="36"/>
        <v>PASS</v>
      </c>
      <c r="H66" s="53"/>
      <c r="I66" s="8" t="str">
        <f t="shared" si="37"/>
        <v>NIL</v>
      </c>
      <c r="J66" s="8" t="str" cm="1">
        <f t="array" ref="J66">INDEX(_xll.DUCKDB.EXEC($H$2,B66:C66),2)</f>
        <v>NIL</v>
      </c>
      <c r="K66" s="9" t="str">
        <f t="shared" si="38"/>
        <v>PASS</v>
      </c>
    </row>
    <row r="67" spans="1:11" x14ac:dyDescent="0.3">
      <c r="A67" s="9">
        <v>66</v>
      </c>
      <c r="B67" s="8" t="s">
        <v>117</v>
      </c>
      <c r="C67" s="8" t="s">
        <v>128</v>
      </c>
      <c r="D67" s="53"/>
      <c r="E67" s="9" t="s">
        <v>8</v>
      </c>
      <c r="F67" s="9" t="str" cm="1">
        <f t="array" ref="F67">INDEX(_xll.DUCKDB.EXEC($D$2,B67:C67),2)</f>
        <v>VARCHAR</v>
      </c>
      <c r="G67" s="9" t="str">
        <f t="shared" si="36"/>
        <v>PASS</v>
      </c>
      <c r="H67" s="53"/>
      <c r="I67" s="8" t="str">
        <f t="shared" si="37"/>
        <v>INF</v>
      </c>
      <c r="J67" s="8" t="str" cm="1">
        <f t="array" ref="J67">INDEX(_xll.DUCKDB.EXEC($H$2,B67:C67),2)</f>
        <v>INF</v>
      </c>
      <c r="K67" s="9" t="str">
        <f t="shared" si="38"/>
        <v>PASS</v>
      </c>
    </row>
    <row r="68" spans="1:11" x14ac:dyDescent="0.3">
      <c r="A68" s="9">
        <v>67</v>
      </c>
      <c r="B68" s="8" t="s">
        <v>117</v>
      </c>
      <c r="C68" s="8" t="s">
        <v>129</v>
      </c>
      <c r="D68" s="53"/>
      <c r="E68" s="9" t="s">
        <v>8</v>
      </c>
      <c r="F68" s="9" t="str" cm="1">
        <f t="array" ref="F68">INDEX(_xll.DUCKDB.EXEC($D$2,B68:C68),2)</f>
        <v>VARCHAR</v>
      </c>
      <c r="G68" s="9" t="str">
        <f t="shared" si="36"/>
        <v>PASS</v>
      </c>
      <c r="H68" s="53"/>
      <c r="I68" s="8" t="str">
        <f t="shared" si="37"/>
        <v>NaN</v>
      </c>
      <c r="J68" s="8" t="str" cm="1">
        <f t="array" ref="J68">INDEX(_xll.DUCKDB.EXEC($H$2,B68:C68),2)</f>
        <v>NaN</v>
      </c>
      <c r="K68" s="9" t="str">
        <f t="shared" si="38"/>
        <v>PASS</v>
      </c>
    </row>
    <row r="69" spans="1:11" x14ac:dyDescent="0.3">
      <c r="A69" s="9">
        <v>68</v>
      </c>
      <c r="B69" s="8" t="s">
        <v>117</v>
      </c>
      <c r="C69" s="11" t="s">
        <v>74</v>
      </c>
      <c r="D69" s="53"/>
      <c r="E69" s="9" t="str" cm="1">
        <f t="array" ref="E69">INDEX(_xll.DUCKDB.EXEC($D$2,A69:B69),2)</f>
        <v>VARCHAR</v>
      </c>
      <c r="F69" s="9" t="str" cm="1">
        <f t="array" ref="F69">INDEX(_xll.DUCKDB.EXEC($D$2,B69:C69),2)</f>
        <v>VARCHAR</v>
      </c>
      <c r="G69" s="9" t="str">
        <f t="shared" si="36"/>
        <v>PASS</v>
      </c>
      <c r="H69" s="53"/>
      <c r="I69" s="11" t="str">
        <f>C69</f>
        <v>ON</v>
      </c>
      <c r="J69" s="8" t="str" cm="1">
        <f t="array" ref="J69">INDEX(_xll.DUCKDB.EXEC($H$2,B69:C69),2)</f>
        <v>ON</v>
      </c>
      <c r="K69" s="9" t="str">
        <f t="shared" si="38"/>
        <v>PASS</v>
      </c>
    </row>
    <row r="70" spans="1:11" x14ac:dyDescent="0.3">
      <c r="A70" s="9">
        <v>69</v>
      </c>
      <c r="B70" s="8" t="s">
        <v>117</v>
      </c>
      <c r="C70" s="11" t="s">
        <v>75</v>
      </c>
      <c r="D70" s="53"/>
      <c r="E70" s="9" t="str" cm="1">
        <f t="array" ref="E70">INDEX(_xll.DUCKDB.EXEC($D$2,A70:B70),2)</f>
        <v>VARCHAR</v>
      </c>
      <c r="F70" s="9" t="str" cm="1">
        <f t="array" ref="F70">INDEX(_xll.DUCKDB.EXEC($D$2,B70:C70),2)</f>
        <v>VARCHAR</v>
      </c>
      <c r="G70" s="9" t="str">
        <f t="shared" si="36"/>
        <v>PASS</v>
      </c>
      <c r="H70" s="53"/>
      <c r="I70" s="11" t="str">
        <f t="shared" ref="I70" si="39">C70</f>
        <v>OFF</v>
      </c>
      <c r="J70" s="8" t="str" cm="1">
        <f t="array" ref="J70">INDEX(_xll.DUCKDB.EXEC($H$2,B70:C70),2)</f>
        <v>OFF</v>
      </c>
      <c r="K70" s="9" t="str">
        <f t="shared" si="38"/>
        <v>PASS</v>
      </c>
    </row>
  </sheetData>
  <mergeCells count="2">
    <mergeCell ref="D2:D70"/>
    <mergeCell ref="H2:H70"/>
  </mergeCells>
  <conditionalFormatting sqref="G2:G68 K2:K68">
    <cfRule type="cellIs" dxfId="269" priority="3" stopIfTrue="1" operator="equal">
      <formula>"PASS"</formula>
    </cfRule>
    <cfRule type="cellIs" dxfId="268" priority="4" stopIfTrue="1" operator="equal">
      <formula>"FAIL"</formula>
    </cfRule>
  </conditionalFormatting>
  <conditionalFormatting sqref="G69:G70 K69:K70">
    <cfRule type="cellIs" dxfId="267" priority="1" stopIfTrue="1" operator="equal">
      <formula>"PASS"</formula>
    </cfRule>
    <cfRule type="cellIs" dxfId="266" priority="2" stopIfTrue="1" operator="equal">
      <formula>"FAIL"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A1C93-13C0-441A-AD81-7C8033CD328B}">
  <dimension ref="A1:G45"/>
  <sheetViews>
    <sheetView topLeftCell="A34" workbookViewId="0">
      <selection activeCell="J15" sqref="J15"/>
    </sheetView>
  </sheetViews>
  <sheetFormatPr defaultRowHeight="14.4" x14ac:dyDescent="0.3"/>
  <cols>
    <col min="1" max="1" width="8.88671875" style="4"/>
    <col min="2" max="2" width="24.33203125" bestFit="1" customWidth="1"/>
    <col min="3" max="3" width="16.6640625" customWidth="1"/>
    <col min="4" max="4" width="36" customWidth="1"/>
    <col min="5" max="5" width="20.6640625" bestFit="1" customWidth="1"/>
    <col min="6" max="6" width="34.77734375" customWidth="1"/>
    <col min="7" max="7" width="12.88671875" customWidth="1"/>
  </cols>
  <sheetData>
    <row r="1" spans="1:7" x14ac:dyDescent="0.3">
      <c r="A1" s="7" t="s">
        <v>243</v>
      </c>
      <c r="B1" s="7" t="s">
        <v>123</v>
      </c>
      <c r="C1" s="7" t="s">
        <v>176</v>
      </c>
      <c r="D1" s="7" t="s">
        <v>143</v>
      </c>
      <c r="E1" s="7" t="s">
        <v>100</v>
      </c>
      <c r="F1" s="7" t="s">
        <v>101</v>
      </c>
      <c r="G1" s="25" t="s">
        <v>172</v>
      </c>
    </row>
    <row r="2" spans="1:7" ht="14.4" customHeight="1" x14ac:dyDescent="0.3">
      <c r="A2" s="52">
        <v>1</v>
      </c>
      <c r="B2" s="54" t="s">
        <v>104</v>
      </c>
      <c r="C2" s="8">
        <v>1</v>
      </c>
      <c r="D2" s="63" t="s">
        <v>233</v>
      </c>
      <c r="E2" s="52" t="s">
        <v>4</v>
      </c>
      <c r="F2" s="52" t="str" cm="1">
        <f t="array" ref="F2">INDEX(_xll.DUCKDB.EXEC($D$2,C2:C3),2)</f>
        <v>INTEGER</v>
      </c>
      <c r="G2" s="55" t="str">
        <f>IF(E2=F2,"PASS","FAIL")</f>
        <v>PASS</v>
      </c>
    </row>
    <row r="3" spans="1:7" x14ac:dyDescent="0.3">
      <c r="A3" s="52"/>
      <c r="B3" s="54"/>
      <c r="C3" s="8"/>
      <c r="D3" s="63"/>
      <c r="E3" s="52"/>
      <c r="F3" s="52"/>
      <c r="G3" s="56"/>
    </row>
    <row r="4" spans="1:7" ht="14.4" customHeight="1" x14ac:dyDescent="0.3">
      <c r="A4" s="52">
        <v>2</v>
      </c>
      <c r="B4" s="54" t="s">
        <v>104</v>
      </c>
      <c r="C4" s="8"/>
      <c r="D4" s="63"/>
      <c r="E4" s="52" t="s">
        <v>4</v>
      </c>
      <c r="F4" s="52" t="str" cm="1">
        <f t="array" ref="F4">INDEX(_xll.DUCKDB.EXEC($D$2,C4:C5),2)</f>
        <v>INTEGER</v>
      </c>
      <c r="G4" s="55" t="str">
        <f>IF(E4=F4,"PASS","FAIL")</f>
        <v>PASS</v>
      </c>
    </row>
    <row r="5" spans="1:7" x14ac:dyDescent="0.3">
      <c r="A5" s="52"/>
      <c r="B5" s="54"/>
      <c r="C5" s="26">
        <v>1</v>
      </c>
      <c r="D5" s="63"/>
      <c r="E5" s="52"/>
      <c r="F5" s="52"/>
      <c r="G5" s="56"/>
    </row>
    <row r="6" spans="1:7" s="27" customFormat="1" x14ac:dyDescent="0.3">
      <c r="A6" s="65">
        <v>3</v>
      </c>
      <c r="B6" s="64" t="s">
        <v>104</v>
      </c>
      <c r="C6" s="26">
        <v>1</v>
      </c>
      <c r="D6" s="63"/>
      <c r="E6" s="65" t="s">
        <v>4</v>
      </c>
      <c r="F6" s="52" t="str" cm="1">
        <f t="array" ref="F6">INDEX(_xll.DUCKDB.EXEC($D$2,C6:C7),2)</f>
        <v>INTEGER</v>
      </c>
      <c r="G6" s="61" t="str">
        <f>IF(E6=F6,"PASS","FAIL")</f>
        <v>PASS</v>
      </c>
    </row>
    <row r="7" spans="1:7" s="27" customFormat="1" x14ac:dyDescent="0.3">
      <c r="A7" s="65"/>
      <c r="B7" s="64"/>
      <c r="C7" s="26">
        <v>2</v>
      </c>
      <c r="D7" s="63"/>
      <c r="E7" s="65"/>
      <c r="F7" s="52"/>
      <c r="G7" s="62"/>
    </row>
    <row r="8" spans="1:7" ht="14.4" customHeight="1" x14ac:dyDescent="0.3">
      <c r="A8" s="52">
        <v>4</v>
      </c>
      <c r="B8" s="54" t="s">
        <v>107</v>
      </c>
      <c r="C8" s="8">
        <v>1.2</v>
      </c>
      <c r="D8" s="63"/>
      <c r="E8" s="52" t="s">
        <v>12</v>
      </c>
      <c r="F8" s="52" t="str" cm="1">
        <f t="array" ref="F8">INDEX(_xll.DUCKDB.EXEC($D$2,C8:C9),2)</f>
        <v>DOUBLE</v>
      </c>
      <c r="G8" s="55" t="str">
        <f>IF(E8=F8,"PASS","FAIL")</f>
        <v>PASS</v>
      </c>
    </row>
    <row r="9" spans="1:7" x14ac:dyDescent="0.3">
      <c r="A9" s="52"/>
      <c r="B9" s="54"/>
      <c r="C9" s="8"/>
      <c r="D9" s="63"/>
      <c r="E9" s="52"/>
      <c r="F9" s="52"/>
      <c r="G9" s="56"/>
    </row>
    <row r="10" spans="1:7" ht="14.4" customHeight="1" x14ac:dyDescent="0.3">
      <c r="A10" s="52">
        <v>5</v>
      </c>
      <c r="B10" s="54" t="s">
        <v>107</v>
      </c>
      <c r="C10" s="8"/>
      <c r="D10" s="63"/>
      <c r="E10" s="52" t="s">
        <v>12</v>
      </c>
      <c r="F10" s="52" t="str" cm="1">
        <f t="array" ref="F10">INDEX(_xll.DUCKDB.EXEC($D$2,C10:C11),2)</f>
        <v>DOUBLE</v>
      </c>
      <c r="G10" s="55" t="str">
        <f>IF(E10=F10,"PASS","FAIL")</f>
        <v>PASS</v>
      </c>
    </row>
    <row r="11" spans="1:7" x14ac:dyDescent="0.3">
      <c r="A11" s="52"/>
      <c r="B11" s="54"/>
      <c r="C11" s="8">
        <v>1.2</v>
      </c>
      <c r="D11" s="63"/>
      <c r="E11" s="52"/>
      <c r="F11" s="52"/>
      <c r="G11" s="56"/>
    </row>
    <row r="12" spans="1:7" x14ac:dyDescent="0.3">
      <c r="A12" s="52">
        <v>6</v>
      </c>
      <c r="B12" s="54" t="s">
        <v>107</v>
      </c>
      <c r="C12" s="8">
        <v>1.2</v>
      </c>
      <c r="D12" s="63"/>
      <c r="E12" s="52" t="s">
        <v>12</v>
      </c>
      <c r="F12" s="52" t="str" cm="1">
        <f t="array" ref="F12">INDEX(_xll.DUCKDB.EXEC($D$2,C12:C13),2)</f>
        <v>DOUBLE</v>
      </c>
      <c r="G12" s="55" t="str">
        <f>IF(E12=F12,"PASS","FAIL")</f>
        <v>PASS</v>
      </c>
    </row>
    <row r="13" spans="1:7" x14ac:dyDescent="0.3">
      <c r="A13" s="52"/>
      <c r="B13" s="54"/>
      <c r="C13" s="8">
        <v>3.4</v>
      </c>
      <c r="D13" s="63"/>
      <c r="E13" s="52"/>
      <c r="F13" s="52"/>
      <c r="G13" s="56"/>
    </row>
    <row r="14" spans="1:7" x14ac:dyDescent="0.3">
      <c r="A14" s="52">
        <v>7</v>
      </c>
      <c r="B14" s="54" t="s">
        <v>163</v>
      </c>
      <c r="C14" s="8" t="b">
        <v>1</v>
      </c>
      <c r="D14" s="63"/>
      <c r="E14" s="52" t="s">
        <v>7</v>
      </c>
      <c r="F14" s="52" t="str" cm="1">
        <f t="array" ref="F14">INDEX(_xll.DUCKDB.EXEC($D$2,C14:C15),2)</f>
        <v>BOOLEAN</v>
      </c>
      <c r="G14" s="55" t="str">
        <f>IF(E14=F14,"PASS","FAIL")</f>
        <v>PASS</v>
      </c>
    </row>
    <row r="15" spans="1:7" x14ac:dyDescent="0.3">
      <c r="A15" s="52"/>
      <c r="B15" s="54"/>
      <c r="C15" s="8"/>
      <c r="D15" s="63"/>
      <c r="E15" s="52"/>
      <c r="F15" s="52"/>
      <c r="G15" s="56"/>
    </row>
    <row r="16" spans="1:7" x14ac:dyDescent="0.3">
      <c r="A16" s="52">
        <v>8</v>
      </c>
      <c r="B16" s="54" t="s">
        <v>163</v>
      </c>
      <c r="C16" s="8" t="b">
        <v>0</v>
      </c>
      <c r="D16" s="63"/>
      <c r="E16" s="52" t="s">
        <v>7</v>
      </c>
      <c r="F16" s="52" t="str" cm="1">
        <f t="array" ref="F16">INDEX(_xll.DUCKDB.EXEC($D$2,C16:C17),2)</f>
        <v>BOOLEAN</v>
      </c>
      <c r="G16" s="55" t="str">
        <f>IF(E16=F16,"PASS","FAIL")</f>
        <v>PASS</v>
      </c>
    </row>
    <row r="17" spans="1:7" x14ac:dyDescent="0.3">
      <c r="A17" s="52"/>
      <c r="B17" s="54"/>
      <c r="C17" s="8"/>
      <c r="D17" s="63"/>
      <c r="E17" s="52"/>
      <c r="F17" s="52"/>
      <c r="G17" s="56"/>
    </row>
    <row r="18" spans="1:7" x14ac:dyDescent="0.3">
      <c r="A18" s="52">
        <v>9</v>
      </c>
      <c r="B18" s="54" t="s">
        <v>163</v>
      </c>
      <c r="C18" s="8" t="b">
        <v>1</v>
      </c>
      <c r="D18" s="63"/>
      <c r="E18" s="52" t="s">
        <v>7</v>
      </c>
      <c r="F18" s="52" t="str" cm="1">
        <f t="array" ref="F18">INDEX(_xll.DUCKDB.EXEC($D$2,C18:C19),2)</f>
        <v>BOOLEAN</v>
      </c>
      <c r="G18" s="55" t="str">
        <f>IF(E18=F18,"PASS","FAIL")</f>
        <v>PASS</v>
      </c>
    </row>
    <row r="19" spans="1:7" x14ac:dyDescent="0.3">
      <c r="A19" s="52"/>
      <c r="B19" s="54"/>
      <c r="C19" s="8" t="b">
        <v>0</v>
      </c>
      <c r="D19" s="63"/>
      <c r="E19" s="52"/>
      <c r="F19" s="52"/>
      <c r="G19" s="56"/>
    </row>
    <row r="20" spans="1:7" x14ac:dyDescent="0.3">
      <c r="A20" s="52">
        <v>10</v>
      </c>
      <c r="B20" s="54" t="s">
        <v>163</v>
      </c>
      <c r="C20" s="8" t="b">
        <v>1</v>
      </c>
      <c r="D20" s="63"/>
      <c r="E20" s="52" t="s">
        <v>7</v>
      </c>
      <c r="F20" s="52" t="str" cm="1">
        <f t="array" ref="F20">INDEX(_xll.DUCKDB.EXEC($D$2,C20:C21),2)</f>
        <v>BOOLEAN</v>
      </c>
      <c r="G20" s="55" t="str">
        <f>IF(E20=F20,"PASS","FAIL")</f>
        <v>PASS</v>
      </c>
    </row>
    <row r="21" spans="1:7" x14ac:dyDescent="0.3">
      <c r="A21" s="52"/>
      <c r="B21" s="54"/>
      <c r="C21" s="24">
        <v>1</v>
      </c>
      <c r="D21" s="63"/>
      <c r="E21" s="52"/>
      <c r="F21" s="52"/>
      <c r="G21" s="56"/>
    </row>
    <row r="22" spans="1:7" x14ac:dyDescent="0.3">
      <c r="A22" s="52">
        <v>11</v>
      </c>
      <c r="B22" s="54" t="s">
        <v>163</v>
      </c>
      <c r="C22" s="8" t="b">
        <v>0</v>
      </c>
      <c r="D22" s="63"/>
      <c r="E22" s="52" t="s">
        <v>7</v>
      </c>
      <c r="F22" s="52" t="str" cm="1">
        <f t="array" ref="F22">INDEX(_xll.DUCKDB.EXEC($D$2,C22:C23),2)</f>
        <v>BOOLEAN</v>
      </c>
      <c r="G22" s="55" t="str">
        <f>IF(E22=F22,"PASS","FAIL")</f>
        <v>PASS</v>
      </c>
    </row>
    <row r="23" spans="1:7" x14ac:dyDescent="0.3">
      <c r="A23" s="52"/>
      <c r="B23" s="54"/>
      <c r="C23" s="24">
        <v>0</v>
      </c>
      <c r="D23" s="63"/>
      <c r="E23" s="52"/>
      <c r="F23" s="52"/>
      <c r="G23" s="56"/>
    </row>
    <row r="24" spans="1:7" ht="14.4" customHeight="1" x14ac:dyDescent="0.3">
      <c r="A24" s="52">
        <v>12</v>
      </c>
      <c r="B24" s="54" t="s">
        <v>164</v>
      </c>
      <c r="C24" s="8" t="s">
        <v>45</v>
      </c>
      <c r="D24" s="63"/>
      <c r="E24" s="52" t="s">
        <v>8</v>
      </c>
      <c r="F24" s="52" t="str" cm="1">
        <f t="array" ref="F24">INDEX(_xll.DUCKDB.EXEC($D$2,C24:C25),2)</f>
        <v>VARCHAR</v>
      </c>
      <c r="G24" s="55" t="str">
        <f>IF(E24=F24,"PASS","FAIL")</f>
        <v>PASS</v>
      </c>
    </row>
    <row r="25" spans="1:7" x14ac:dyDescent="0.3">
      <c r="A25" s="52"/>
      <c r="B25" s="54"/>
      <c r="C25" s="8"/>
      <c r="D25" s="63"/>
      <c r="E25" s="52"/>
      <c r="F25" s="52"/>
      <c r="G25" s="56"/>
    </row>
    <row r="26" spans="1:7" ht="14.4" customHeight="1" x14ac:dyDescent="0.3">
      <c r="A26" s="52">
        <v>13</v>
      </c>
      <c r="B26" s="54" t="s">
        <v>164</v>
      </c>
      <c r="C26" s="8"/>
      <c r="D26" s="63"/>
      <c r="E26" s="52" t="s">
        <v>8</v>
      </c>
      <c r="F26" s="52" t="str" cm="1">
        <f t="array" ref="F26">INDEX(_xll.DUCKDB.EXEC($D$2,C26:C27),2)</f>
        <v>VARCHAR</v>
      </c>
      <c r="G26" s="55" t="str">
        <f>IF(E26=F26,"PASS","FAIL")</f>
        <v>PASS</v>
      </c>
    </row>
    <row r="27" spans="1:7" x14ac:dyDescent="0.3">
      <c r="A27" s="52"/>
      <c r="B27" s="54"/>
      <c r="C27" s="26" t="s">
        <v>45</v>
      </c>
      <c r="D27" s="63"/>
      <c r="E27" s="52"/>
      <c r="F27" s="52"/>
      <c r="G27" s="56"/>
    </row>
    <row r="28" spans="1:7" s="27" customFormat="1" x14ac:dyDescent="0.3">
      <c r="A28" s="52">
        <v>14</v>
      </c>
      <c r="B28" s="54" t="s">
        <v>164</v>
      </c>
      <c r="C28" s="26" t="s">
        <v>45</v>
      </c>
      <c r="D28" s="63"/>
      <c r="E28" s="52" t="s">
        <v>8</v>
      </c>
      <c r="F28" s="52" t="str" cm="1">
        <f t="array" ref="F28">INDEX(_xll.DUCKDB.EXEC($D$2,C28:C29),2)</f>
        <v>VARCHAR</v>
      </c>
      <c r="G28" s="61" t="str">
        <f>IF(E28=F28,"PASS","FAIL")</f>
        <v>PASS</v>
      </c>
    </row>
    <row r="29" spans="1:7" s="27" customFormat="1" x14ac:dyDescent="0.3">
      <c r="A29" s="52"/>
      <c r="B29" s="54"/>
      <c r="C29" s="26" t="s">
        <v>45</v>
      </c>
      <c r="D29" s="63"/>
      <c r="E29" s="52"/>
      <c r="F29" s="52"/>
      <c r="G29" s="62"/>
    </row>
    <row r="30" spans="1:7" x14ac:dyDescent="0.3">
      <c r="A30" s="52">
        <v>15</v>
      </c>
      <c r="B30" s="54" t="s">
        <v>168</v>
      </c>
      <c r="C30" s="8">
        <v>1</v>
      </c>
      <c r="D30" s="63"/>
      <c r="E30" s="52" t="s">
        <v>12</v>
      </c>
      <c r="F30" s="52" t="str" cm="1">
        <f t="array" ref="F30">INDEX(_xll.DUCKDB.EXEC($D$2,C30:C31),2)</f>
        <v>DOUBLE</v>
      </c>
      <c r="G30" s="55" t="str">
        <f>IF(E30=F30,"PASS","FAIL")</f>
        <v>PASS</v>
      </c>
    </row>
    <row r="31" spans="1:7" x14ac:dyDescent="0.3">
      <c r="A31" s="52"/>
      <c r="B31" s="54"/>
      <c r="C31" s="10">
        <v>1.2</v>
      </c>
      <c r="D31" s="63"/>
      <c r="E31" s="52"/>
      <c r="F31" s="52"/>
      <c r="G31" s="56"/>
    </row>
    <row r="32" spans="1:7" x14ac:dyDescent="0.3">
      <c r="A32" s="55">
        <v>16</v>
      </c>
      <c r="B32" s="57" t="s">
        <v>170</v>
      </c>
      <c r="C32" s="8">
        <v>1</v>
      </c>
      <c r="D32" s="63"/>
      <c r="E32" s="55" t="s">
        <v>8</v>
      </c>
      <c r="F32" s="55" t="str" cm="1">
        <f t="array" ref="F32">INDEX(_xll.DUCKDB.EXEC($D$2,C32:C34),2)</f>
        <v>VARCHAR</v>
      </c>
      <c r="G32" s="55" t="str">
        <f>IF(E32=F32,"PASS","FAIL")</f>
        <v>PASS</v>
      </c>
    </row>
    <row r="33" spans="1:7" x14ac:dyDescent="0.3">
      <c r="A33" s="60"/>
      <c r="B33" s="58"/>
      <c r="C33" s="10">
        <v>1.2</v>
      </c>
      <c r="D33" s="63"/>
      <c r="E33" s="60"/>
      <c r="F33" s="60"/>
      <c r="G33" s="60"/>
    </row>
    <row r="34" spans="1:7" x14ac:dyDescent="0.3">
      <c r="A34" s="56"/>
      <c r="B34" s="59"/>
      <c r="C34" s="24" t="s">
        <v>45</v>
      </c>
      <c r="D34" s="63"/>
      <c r="E34" s="56"/>
      <c r="F34" s="56"/>
      <c r="G34" s="60"/>
    </row>
    <row r="35" spans="1:7" x14ac:dyDescent="0.3">
      <c r="A35" s="55">
        <v>17</v>
      </c>
      <c r="B35" s="57" t="s">
        <v>170</v>
      </c>
      <c r="C35" s="8">
        <v>1</v>
      </c>
      <c r="D35" s="63"/>
      <c r="E35" s="55" t="s">
        <v>8</v>
      </c>
      <c r="F35" s="55" t="str" cm="1">
        <f t="array" ref="F35">INDEX(_xll.DUCKDB.EXEC($D$2,C35:C37),2)</f>
        <v>VARCHAR</v>
      </c>
      <c r="G35" s="55" t="str">
        <f>IF(E35=F35,"PASS","FAIL")</f>
        <v>PASS</v>
      </c>
    </row>
    <row r="36" spans="1:7" x14ac:dyDescent="0.3">
      <c r="A36" s="60"/>
      <c r="B36" s="58"/>
      <c r="C36" s="10">
        <v>1.2</v>
      </c>
      <c r="D36" s="63"/>
      <c r="E36" s="60"/>
      <c r="F36" s="60"/>
      <c r="G36" s="60"/>
    </row>
    <row r="37" spans="1:7" x14ac:dyDescent="0.3">
      <c r="A37" s="56"/>
      <c r="B37" s="59"/>
      <c r="C37" s="24" t="b">
        <v>1</v>
      </c>
      <c r="D37" s="63"/>
      <c r="E37" s="56"/>
      <c r="F37" s="56"/>
      <c r="G37" s="60"/>
    </row>
    <row r="38" spans="1:7" x14ac:dyDescent="0.3">
      <c r="A38" s="52">
        <v>18</v>
      </c>
      <c r="B38" s="54" t="s">
        <v>169</v>
      </c>
      <c r="C38" s="8">
        <v>1</v>
      </c>
      <c r="D38" s="63"/>
      <c r="E38" s="52" t="s">
        <v>8</v>
      </c>
      <c r="F38" s="52" t="str" cm="1">
        <f t="array" ref="F38">INDEX(_xll.DUCKDB.EXEC($D$2,C38:C39),2)</f>
        <v>VARCHAR</v>
      </c>
      <c r="G38" s="55" t="str">
        <f>IF(E38=F38,"PASS","FAIL")</f>
        <v>PASS</v>
      </c>
    </row>
    <row r="39" spans="1:7" x14ac:dyDescent="0.3">
      <c r="A39" s="52"/>
      <c r="B39" s="54"/>
      <c r="C39" s="10" t="s">
        <v>45</v>
      </c>
      <c r="D39" s="63"/>
      <c r="E39" s="52"/>
      <c r="F39" s="52"/>
      <c r="G39" s="56"/>
    </row>
    <row r="40" spans="1:7" x14ac:dyDescent="0.3">
      <c r="A40" s="52">
        <v>19</v>
      </c>
      <c r="B40" s="54" t="s">
        <v>169</v>
      </c>
      <c r="C40" s="8">
        <v>1</v>
      </c>
      <c r="D40" s="63"/>
      <c r="E40" s="52" t="s">
        <v>8</v>
      </c>
      <c r="F40" s="52" t="str" cm="1">
        <f t="array" ref="F40">INDEX(_xll.DUCKDB.EXEC($D$2,C40:C41),2)</f>
        <v>VARCHAR</v>
      </c>
      <c r="G40" s="55" t="str">
        <f>IF(E40=F40,"PASS","FAIL")</f>
        <v>PASS</v>
      </c>
    </row>
    <row r="41" spans="1:7" x14ac:dyDescent="0.3">
      <c r="A41" s="52"/>
      <c r="B41" s="54"/>
      <c r="C41" s="10" t="b">
        <v>0</v>
      </c>
      <c r="D41" s="63"/>
      <c r="E41" s="52"/>
      <c r="F41" s="52"/>
      <c r="G41" s="56"/>
    </row>
    <row r="42" spans="1:7" x14ac:dyDescent="0.3">
      <c r="A42" s="52">
        <v>20</v>
      </c>
      <c r="B42" s="54" t="s">
        <v>171</v>
      </c>
      <c r="C42" s="8">
        <v>1.2</v>
      </c>
      <c r="D42" s="63"/>
      <c r="E42" s="52" t="s">
        <v>8</v>
      </c>
      <c r="F42" s="52" t="str" cm="1">
        <f t="array" ref="F42">INDEX(_xll.DUCKDB.EXEC($D$2,C42:C43),2)</f>
        <v>VARCHAR</v>
      </c>
      <c r="G42" s="55" t="str">
        <f>IF(E42=F42,"PASS","FAIL")</f>
        <v>PASS</v>
      </c>
    </row>
    <row r="43" spans="1:7" x14ac:dyDescent="0.3">
      <c r="A43" s="52"/>
      <c r="B43" s="54"/>
      <c r="C43" s="10" t="s">
        <v>45</v>
      </c>
      <c r="D43" s="63"/>
      <c r="E43" s="52"/>
      <c r="F43" s="52"/>
      <c r="G43" s="56"/>
    </row>
    <row r="44" spans="1:7" x14ac:dyDescent="0.3">
      <c r="A44" s="52">
        <v>21</v>
      </c>
      <c r="B44" s="54" t="s">
        <v>171</v>
      </c>
      <c r="C44" s="8">
        <v>1</v>
      </c>
      <c r="D44" s="63"/>
      <c r="E44" s="52" t="s">
        <v>8</v>
      </c>
      <c r="F44" s="52" t="str" cm="1">
        <f t="array" ref="F44">INDEX(_xll.DUCKDB.EXEC($D$2,C44:C45),2)</f>
        <v>VARCHAR</v>
      </c>
      <c r="G44" s="55" t="str">
        <f>IF(E44=F44,"PASS","FAIL")</f>
        <v>PASS</v>
      </c>
    </row>
    <row r="45" spans="1:7" x14ac:dyDescent="0.3">
      <c r="A45" s="52"/>
      <c r="B45" s="54"/>
      <c r="C45" s="10" t="b">
        <v>0</v>
      </c>
      <c r="D45" s="63"/>
      <c r="E45" s="52"/>
      <c r="F45" s="52"/>
      <c r="G45" s="56"/>
    </row>
  </sheetData>
  <mergeCells count="106">
    <mergeCell ref="A40:A41"/>
    <mergeCell ref="A42:A43"/>
    <mergeCell ref="A44:A45"/>
    <mergeCell ref="A20:A21"/>
    <mergeCell ref="A22:A23"/>
    <mergeCell ref="A24:A25"/>
    <mergeCell ref="A26:A27"/>
    <mergeCell ref="A28:A29"/>
    <mergeCell ref="A30:A31"/>
    <mergeCell ref="A32:A34"/>
    <mergeCell ref="A35:A37"/>
    <mergeCell ref="A38:A39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G20:G21"/>
    <mergeCell ref="G16:G17"/>
    <mergeCell ref="G8:G9"/>
    <mergeCell ref="B8:B9"/>
    <mergeCell ref="E8:E9"/>
    <mergeCell ref="B20:B21"/>
    <mergeCell ref="E16:E17"/>
    <mergeCell ref="E14:E15"/>
    <mergeCell ref="E20:E21"/>
    <mergeCell ref="B16:B17"/>
    <mergeCell ref="B14:B15"/>
    <mergeCell ref="B2:B3"/>
    <mergeCell ref="E2:E3"/>
    <mergeCell ref="F2:F3"/>
    <mergeCell ref="G2:G3"/>
    <mergeCell ref="B18:B19"/>
    <mergeCell ref="E18:E19"/>
    <mergeCell ref="G18:G19"/>
    <mergeCell ref="G14:G15"/>
    <mergeCell ref="G10:G11"/>
    <mergeCell ref="F8:F9"/>
    <mergeCell ref="B6:B7"/>
    <mergeCell ref="E6:E7"/>
    <mergeCell ref="F6:F7"/>
    <mergeCell ref="G6:G7"/>
    <mergeCell ref="B4:B5"/>
    <mergeCell ref="E4:E5"/>
    <mergeCell ref="F4:F5"/>
    <mergeCell ref="G4:G5"/>
    <mergeCell ref="B24:B25"/>
    <mergeCell ref="E24:E25"/>
    <mergeCell ref="F24:F25"/>
    <mergeCell ref="G24:G25"/>
    <mergeCell ref="B22:B23"/>
    <mergeCell ref="E22:E23"/>
    <mergeCell ref="F22:F23"/>
    <mergeCell ref="G22:G23"/>
    <mergeCell ref="D2:D45"/>
    <mergeCell ref="F20:F21"/>
    <mergeCell ref="F18:F19"/>
    <mergeCell ref="F16:F17"/>
    <mergeCell ref="F14:F15"/>
    <mergeCell ref="B12:B13"/>
    <mergeCell ref="E12:E13"/>
    <mergeCell ref="F12:F13"/>
    <mergeCell ref="G12:G13"/>
    <mergeCell ref="B10:B11"/>
    <mergeCell ref="E10:E11"/>
    <mergeCell ref="F10:F11"/>
    <mergeCell ref="B26:B27"/>
    <mergeCell ref="E26:E27"/>
    <mergeCell ref="F26:F27"/>
    <mergeCell ref="G26:G27"/>
    <mergeCell ref="B30:B31"/>
    <mergeCell ref="E30:E31"/>
    <mergeCell ref="F30:F31"/>
    <mergeCell ref="G30:G31"/>
    <mergeCell ref="B35:B37"/>
    <mergeCell ref="E35:E37"/>
    <mergeCell ref="F35:F37"/>
    <mergeCell ref="G35:G37"/>
    <mergeCell ref="B28:B29"/>
    <mergeCell ref="E28:E29"/>
    <mergeCell ref="F28:F29"/>
    <mergeCell ref="G28:G29"/>
    <mergeCell ref="B32:B34"/>
    <mergeCell ref="E32:E34"/>
    <mergeCell ref="F32:F34"/>
    <mergeCell ref="G32:G34"/>
    <mergeCell ref="B40:B41"/>
    <mergeCell ref="E40:E41"/>
    <mergeCell ref="F40:F41"/>
    <mergeCell ref="G40:G41"/>
    <mergeCell ref="B38:B39"/>
    <mergeCell ref="E38:E39"/>
    <mergeCell ref="F38:F39"/>
    <mergeCell ref="G38:G39"/>
    <mergeCell ref="B44:B45"/>
    <mergeCell ref="E44:E45"/>
    <mergeCell ref="F44:F45"/>
    <mergeCell ref="G44:G45"/>
    <mergeCell ref="B42:B43"/>
    <mergeCell ref="E42:E43"/>
    <mergeCell ref="F42:F43"/>
    <mergeCell ref="G42:G43"/>
  </mergeCells>
  <conditionalFormatting sqref="G14">
    <cfRule type="cellIs" dxfId="265" priority="601" stopIfTrue="1" operator="equal">
      <formula>"PASS"</formula>
    </cfRule>
    <cfRule type="cellIs" dxfId="264" priority="602" stopIfTrue="1" operator="equal">
      <formula>"FAIL"</formula>
    </cfRule>
  </conditionalFormatting>
  <conditionalFormatting sqref="G18">
    <cfRule type="cellIs" dxfId="263" priority="597" stopIfTrue="1" operator="equal">
      <formula>"PASS"</formula>
    </cfRule>
    <cfRule type="cellIs" dxfId="262" priority="598" stopIfTrue="1" operator="equal">
      <formula>"FAIL"</formula>
    </cfRule>
  </conditionalFormatting>
  <conditionalFormatting sqref="G20">
    <cfRule type="cellIs" dxfId="261" priority="595" stopIfTrue="1" operator="equal">
      <formula>"PASS"</formula>
    </cfRule>
    <cfRule type="cellIs" dxfId="260" priority="596" stopIfTrue="1" operator="equal">
      <formula>"FAIL"</formula>
    </cfRule>
  </conditionalFormatting>
  <conditionalFormatting sqref="G2">
    <cfRule type="cellIs" dxfId="259" priority="451" stopIfTrue="1" operator="equal">
      <formula>"PASS"</formula>
    </cfRule>
    <cfRule type="cellIs" dxfId="258" priority="452" stopIfTrue="1" operator="equal">
      <formula>"FAIL"</formula>
    </cfRule>
  </conditionalFormatting>
  <conditionalFormatting sqref="G10">
    <cfRule type="cellIs" dxfId="257" priority="429" stopIfTrue="1" operator="equal">
      <formula>"PASS"</formula>
    </cfRule>
    <cfRule type="cellIs" dxfId="256" priority="430" stopIfTrue="1" operator="equal">
      <formula>"FAIL"</formula>
    </cfRule>
  </conditionalFormatting>
  <conditionalFormatting sqref="G12">
    <cfRule type="cellIs" dxfId="255" priority="427" stopIfTrue="1" operator="equal">
      <formula>"PASS"</formula>
    </cfRule>
    <cfRule type="cellIs" dxfId="254" priority="428" stopIfTrue="1" operator="equal">
      <formula>"FAIL"</formula>
    </cfRule>
  </conditionalFormatting>
  <conditionalFormatting sqref="G8">
    <cfRule type="cellIs" dxfId="253" priority="421" stopIfTrue="1" operator="equal">
      <formula>"PASS"</formula>
    </cfRule>
    <cfRule type="cellIs" dxfId="252" priority="422" stopIfTrue="1" operator="equal">
      <formula>"FAIL"</formula>
    </cfRule>
  </conditionalFormatting>
  <conditionalFormatting sqref="G16">
    <cfRule type="cellIs" dxfId="251" priority="369" stopIfTrue="1" operator="equal">
      <formula>"PASS"</formula>
    </cfRule>
    <cfRule type="cellIs" dxfId="250" priority="370" stopIfTrue="1" operator="equal">
      <formula>"FAIL"</formula>
    </cfRule>
  </conditionalFormatting>
  <conditionalFormatting sqref="G4">
    <cfRule type="cellIs" dxfId="249" priority="29" stopIfTrue="1" operator="equal">
      <formula>"PASS"</formula>
    </cfRule>
    <cfRule type="cellIs" dxfId="248" priority="30" stopIfTrue="1" operator="equal">
      <formula>"FAIL"</formula>
    </cfRule>
  </conditionalFormatting>
  <conditionalFormatting sqref="G6">
    <cfRule type="cellIs" dxfId="247" priority="27" stopIfTrue="1" operator="equal">
      <formula>"PASS"</formula>
    </cfRule>
    <cfRule type="cellIs" dxfId="246" priority="28" stopIfTrue="1" operator="equal">
      <formula>"FAIL"</formula>
    </cfRule>
  </conditionalFormatting>
  <conditionalFormatting sqref="G22">
    <cfRule type="cellIs" dxfId="245" priority="21" stopIfTrue="1" operator="equal">
      <formula>"PASS"</formula>
    </cfRule>
    <cfRule type="cellIs" dxfId="244" priority="22" stopIfTrue="1" operator="equal">
      <formula>"FAIL"</formula>
    </cfRule>
  </conditionalFormatting>
  <conditionalFormatting sqref="G30">
    <cfRule type="cellIs" dxfId="243" priority="19" stopIfTrue="1" operator="equal">
      <formula>"PASS"</formula>
    </cfRule>
    <cfRule type="cellIs" dxfId="242" priority="20" stopIfTrue="1" operator="equal">
      <formula>"FAIL"</formula>
    </cfRule>
  </conditionalFormatting>
  <conditionalFormatting sqref="G35">
    <cfRule type="cellIs" dxfId="241" priority="15" stopIfTrue="1" operator="equal">
      <formula>"PASS"</formula>
    </cfRule>
    <cfRule type="cellIs" dxfId="240" priority="16" stopIfTrue="1" operator="equal">
      <formula>"FAIL"</formula>
    </cfRule>
  </conditionalFormatting>
  <conditionalFormatting sqref="G32">
    <cfRule type="cellIs" dxfId="239" priority="17" stopIfTrue="1" operator="equal">
      <formula>"PASS"</formula>
    </cfRule>
    <cfRule type="cellIs" dxfId="238" priority="18" stopIfTrue="1" operator="equal">
      <formula>"FAIL"</formula>
    </cfRule>
  </conditionalFormatting>
  <conditionalFormatting sqref="G38">
    <cfRule type="cellIs" dxfId="237" priority="13" stopIfTrue="1" operator="equal">
      <formula>"PASS"</formula>
    </cfRule>
    <cfRule type="cellIs" dxfId="236" priority="14" stopIfTrue="1" operator="equal">
      <formula>"FAIL"</formula>
    </cfRule>
  </conditionalFormatting>
  <conditionalFormatting sqref="G40">
    <cfRule type="cellIs" dxfId="235" priority="11" stopIfTrue="1" operator="equal">
      <formula>"PASS"</formula>
    </cfRule>
    <cfRule type="cellIs" dxfId="234" priority="12" stopIfTrue="1" operator="equal">
      <formula>"FAIL"</formula>
    </cfRule>
  </conditionalFormatting>
  <conditionalFormatting sqref="G42">
    <cfRule type="cellIs" dxfId="233" priority="9" stopIfTrue="1" operator="equal">
      <formula>"PASS"</formula>
    </cfRule>
    <cfRule type="cellIs" dxfId="232" priority="10" stopIfTrue="1" operator="equal">
      <formula>"FAIL"</formula>
    </cfRule>
  </conditionalFormatting>
  <conditionalFormatting sqref="G44">
    <cfRule type="cellIs" dxfId="231" priority="7" stopIfTrue="1" operator="equal">
      <formula>"PASS"</formula>
    </cfRule>
    <cfRule type="cellIs" dxfId="230" priority="8" stopIfTrue="1" operator="equal">
      <formula>"FAIL"</formula>
    </cfRule>
  </conditionalFormatting>
  <conditionalFormatting sqref="G24">
    <cfRule type="cellIs" dxfId="229" priority="5" stopIfTrue="1" operator="equal">
      <formula>"PASS"</formula>
    </cfRule>
    <cfRule type="cellIs" dxfId="228" priority="6" stopIfTrue="1" operator="equal">
      <formula>"FAIL"</formula>
    </cfRule>
  </conditionalFormatting>
  <conditionalFormatting sqref="G28">
    <cfRule type="cellIs" dxfId="227" priority="1" stopIfTrue="1" operator="equal">
      <formula>"PASS"</formula>
    </cfRule>
    <cfRule type="cellIs" dxfId="226" priority="2" stopIfTrue="1" operator="equal">
      <formula>"FAIL"</formula>
    </cfRule>
  </conditionalFormatting>
  <conditionalFormatting sqref="G26">
    <cfRule type="cellIs" dxfId="225" priority="3" stopIfTrue="1" operator="equal">
      <formula>"PASS"</formula>
    </cfRule>
    <cfRule type="cellIs" dxfId="224" priority="4" stopIfTrue="1" operator="equal">
      <formula>"FAIL"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6709-ED7D-4713-B2DA-66F5DCBAA75A}">
  <dimension ref="A1:I113"/>
  <sheetViews>
    <sheetView topLeftCell="A19" workbookViewId="0">
      <selection activeCell="F1" sqref="F1:F1048576"/>
    </sheetView>
  </sheetViews>
  <sheetFormatPr defaultRowHeight="14.4" x14ac:dyDescent="0.3"/>
  <cols>
    <col min="2" max="2" width="24.33203125" bestFit="1" customWidth="1"/>
    <col min="3" max="3" width="16.6640625" customWidth="1"/>
    <col min="4" max="4" width="36" customWidth="1"/>
    <col min="5" max="5" width="18.77734375" customWidth="1"/>
    <col min="6" max="6" width="42.5546875" customWidth="1"/>
    <col min="7" max="7" width="12.88671875" customWidth="1"/>
    <col min="9" max="9" width="8.88671875" style="27"/>
  </cols>
  <sheetData>
    <row r="1" spans="1:7" x14ac:dyDescent="0.3">
      <c r="A1" s="40" t="s">
        <v>243</v>
      </c>
      <c r="B1" s="7" t="s">
        <v>123</v>
      </c>
      <c r="C1" s="7" t="s">
        <v>176</v>
      </c>
      <c r="D1" s="7" t="s">
        <v>143</v>
      </c>
      <c r="E1" s="7" t="s">
        <v>175</v>
      </c>
      <c r="F1" s="7" t="s">
        <v>145</v>
      </c>
      <c r="G1" s="32" t="s">
        <v>172</v>
      </c>
    </row>
    <row r="2" spans="1:7" ht="14.4" customHeight="1" x14ac:dyDescent="0.3">
      <c r="A2" s="52">
        <v>1</v>
      </c>
      <c r="B2" s="54" t="s">
        <v>179</v>
      </c>
      <c r="C2" s="8">
        <v>1</v>
      </c>
      <c r="D2" s="53" t="s">
        <v>234</v>
      </c>
      <c r="E2" s="67">
        <v>1</v>
      </c>
      <c r="F2" s="69" cm="1">
        <f t="array" ref="F2">INDEX(_xll.DUCKDB.EXEC($D$2,C2:C3),3)</f>
        <v>1</v>
      </c>
      <c r="G2" s="55" t="str">
        <f>IF(E2=F2,"PASS","FAIL")</f>
        <v>PASS</v>
      </c>
    </row>
    <row r="3" spans="1:7" x14ac:dyDescent="0.3">
      <c r="A3" s="52"/>
      <c r="B3" s="54"/>
      <c r="C3" s="8">
        <v>1</v>
      </c>
      <c r="D3" s="53"/>
      <c r="E3" s="67"/>
      <c r="F3" s="69"/>
      <c r="G3" s="56"/>
    </row>
    <row r="4" spans="1:7" x14ac:dyDescent="0.3">
      <c r="A4" s="52">
        <v>2</v>
      </c>
      <c r="B4" s="54" t="s">
        <v>179</v>
      </c>
      <c r="C4" s="8">
        <v>1</v>
      </c>
      <c r="D4" s="53"/>
      <c r="E4" s="67">
        <v>1</v>
      </c>
      <c r="F4" s="68" cm="1">
        <f t="array" ref="F4">INDEX(_xll.DUCKDB.EXEC($D$2,C4:C5),3)</f>
        <v>1</v>
      </c>
      <c r="G4" s="55" t="str">
        <f>IF(E4=F4,"PASS","FAIL")</f>
        <v>PASS</v>
      </c>
    </row>
    <row r="5" spans="1:7" x14ac:dyDescent="0.3">
      <c r="A5" s="52"/>
      <c r="B5" s="54"/>
      <c r="C5" s="11" t="s">
        <v>62</v>
      </c>
      <c r="D5" s="53"/>
      <c r="E5" s="67"/>
      <c r="F5" s="68"/>
      <c r="G5" s="56"/>
    </row>
    <row r="6" spans="1:7" x14ac:dyDescent="0.3">
      <c r="A6" s="52">
        <v>3</v>
      </c>
      <c r="B6" s="54" t="s">
        <v>179</v>
      </c>
      <c r="C6" s="8">
        <v>1</v>
      </c>
      <c r="D6" s="53"/>
      <c r="E6" s="67">
        <v>1</v>
      </c>
      <c r="F6" s="68" cm="1">
        <f t="array" ref="F6">INDEX(_xll.DUCKDB.EXEC($D$2,C6:C7),3)</f>
        <v>1</v>
      </c>
      <c r="G6" s="55" t="str">
        <f>IF(E6=F6,"PASS","FAIL")</f>
        <v>PASS</v>
      </c>
    </row>
    <row r="7" spans="1:7" x14ac:dyDescent="0.3">
      <c r="A7" s="52"/>
      <c r="B7" s="54"/>
      <c r="C7" s="11" t="s">
        <v>63</v>
      </c>
      <c r="D7" s="53"/>
      <c r="E7" s="67"/>
      <c r="F7" s="68"/>
      <c r="G7" s="56"/>
    </row>
    <row r="8" spans="1:7" x14ac:dyDescent="0.3">
      <c r="A8" s="52">
        <v>4</v>
      </c>
      <c r="B8" s="54" t="s">
        <v>179</v>
      </c>
      <c r="C8" s="8">
        <v>1</v>
      </c>
      <c r="D8" s="53"/>
      <c r="E8" s="67">
        <v>10</v>
      </c>
      <c r="F8" s="68" cm="1">
        <f t="array" ref="F8">INDEX(_xll.DUCKDB.EXEC($D$2,C8:C9),3)</f>
        <v>10</v>
      </c>
      <c r="G8" s="55" t="str">
        <f>IF(E8=F8,"PASS","FAIL")</f>
        <v>PASS</v>
      </c>
    </row>
    <row r="9" spans="1:7" x14ac:dyDescent="0.3">
      <c r="A9" s="52"/>
      <c r="B9" s="54"/>
      <c r="C9" s="11" t="s">
        <v>132</v>
      </c>
      <c r="D9" s="53"/>
      <c r="E9" s="67"/>
      <c r="F9" s="68"/>
      <c r="G9" s="56"/>
    </row>
    <row r="10" spans="1:7" x14ac:dyDescent="0.3">
      <c r="A10" s="52">
        <v>5</v>
      </c>
      <c r="B10" s="54" t="s">
        <v>179</v>
      </c>
      <c r="C10" s="8">
        <v>1</v>
      </c>
      <c r="D10" s="53"/>
      <c r="E10" s="67">
        <v>10</v>
      </c>
      <c r="F10" s="68" cm="1">
        <f t="array" ref="F10">INDEX(_xll.DUCKDB.EXEC($D$2,C10:C11),3)</f>
        <v>10</v>
      </c>
      <c r="G10" s="55" t="str">
        <f>IF(E10=F10,"PASS","FAIL")</f>
        <v>PASS</v>
      </c>
    </row>
    <row r="11" spans="1:7" x14ac:dyDescent="0.3">
      <c r="A11" s="52"/>
      <c r="B11" s="54"/>
      <c r="C11" s="11" t="s">
        <v>180</v>
      </c>
      <c r="D11" s="53"/>
      <c r="E11" s="67"/>
      <c r="F11" s="68"/>
      <c r="G11" s="56"/>
    </row>
    <row r="12" spans="1:7" x14ac:dyDescent="0.3">
      <c r="A12" s="52">
        <v>6</v>
      </c>
      <c r="B12" s="54" t="s">
        <v>179</v>
      </c>
      <c r="C12" s="8">
        <v>1</v>
      </c>
      <c r="D12" s="53"/>
      <c r="E12" s="52" t="s">
        <v>174</v>
      </c>
      <c r="F12" s="66" t="str" cm="1">
        <f t="array" ref="F12">_xll.DUCKDB.EXEC($D$2,C12:C13)</f>
        <v>Invalid Input Error: Error scanning xlrange: Column #1, row 2: Failed to convert value to INTEGER.</v>
      </c>
      <c r="G12" s="55" t="str">
        <f>IF(ISNA(E12),IF(ISNA(F12),"PASS","FAIL"),IFERROR(IF(E12=LEFT(F12,LEN(E12)),"PASS","FAIL"),"FAIL"))</f>
        <v>PASS</v>
      </c>
    </row>
    <row r="13" spans="1:7" x14ac:dyDescent="0.3">
      <c r="A13" s="52"/>
      <c r="B13" s="54"/>
      <c r="C13" s="8" t="s">
        <v>45</v>
      </c>
      <c r="D13" s="53"/>
      <c r="E13" s="52"/>
      <c r="F13" s="66"/>
      <c r="G13" s="56"/>
    </row>
    <row r="14" spans="1:7" ht="14.4" customHeight="1" x14ac:dyDescent="0.3">
      <c r="A14" s="52">
        <v>7</v>
      </c>
      <c r="B14" s="54" t="s">
        <v>179</v>
      </c>
      <c r="C14" s="8">
        <v>1</v>
      </c>
      <c r="D14" s="53"/>
      <c r="E14" s="52" t="s">
        <v>174</v>
      </c>
      <c r="F14" s="66" t="str" cm="1">
        <f t="array" ref="F14">_xll.DUCKDB.EXEC($D$2,C14:C15)</f>
        <v>Invalid Input Error: Error scanning xlrange: Column #1, row 2: Failed to convert value to INTEGER.</v>
      </c>
      <c r="G14" s="55" t="str">
        <f>IF(ISNA(E14),IF(ISNA(F14),"PASS","FAIL"),IFERROR(IF(E14=LEFT(F14,LEN(E14)),"PASS","FAIL"),"FAIL"))</f>
        <v>PASS</v>
      </c>
    </row>
    <row r="15" spans="1:7" x14ac:dyDescent="0.3">
      <c r="A15" s="52"/>
      <c r="B15" s="54"/>
      <c r="C15" s="8">
        <v>1.2</v>
      </c>
      <c r="D15" s="53"/>
      <c r="E15" s="52"/>
      <c r="F15" s="66"/>
      <c r="G15" s="56"/>
    </row>
    <row r="16" spans="1:7" ht="14.4" customHeight="1" x14ac:dyDescent="0.3">
      <c r="A16" s="52">
        <v>8</v>
      </c>
      <c r="B16" s="54" t="s">
        <v>179</v>
      </c>
      <c r="C16" s="8">
        <v>1</v>
      </c>
      <c r="D16" s="53"/>
      <c r="E16" s="52" t="s">
        <v>174</v>
      </c>
      <c r="F16" s="66" t="str" cm="1">
        <f t="array" ref="F16">_xll.DUCKDB.EXEC($D$2,C16:C17)</f>
        <v>Invalid Input Error: Error scanning xlrange: Column #1, row 2: Failed to convert value to INTEGER.</v>
      </c>
      <c r="G16" s="55" t="str">
        <f>IF(ISNA(E16),IF(ISNA(F16),"PASS","FAIL"),IFERROR(IF(E16=LEFT(F16,LEN(E16)),"PASS","FAIL"),"FAIL"))</f>
        <v>PASS</v>
      </c>
    </row>
    <row r="17" spans="1:7" x14ac:dyDescent="0.3">
      <c r="A17" s="52"/>
      <c r="B17" s="54"/>
      <c r="C17" s="11" t="s">
        <v>67</v>
      </c>
      <c r="D17" s="53"/>
      <c r="E17" s="52"/>
      <c r="F17" s="66"/>
      <c r="G17" s="56"/>
    </row>
    <row r="18" spans="1:7" ht="14.4" customHeight="1" x14ac:dyDescent="0.3">
      <c r="A18" s="52">
        <v>9</v>
      </c>
      <c r="B18" s="54" t="s">
        <v>179</v>
      </c>
      <c r="C18" s="8">
        <v>1</v>
      </c>
      <c r="D18" s="53"/>
      <c r="E18" s="52" t="s">
        <v>174</v>
      </c>
      <c r="F18" s="66" t="str" cm="1">
        <f t="array" ref="F18">_xll.DUCKDB.EXEC($D$2,C18:C19)</f>
        <v>Invalid Input Error: Error scanning xlrange: Column #1, row 2: Failed to convert value to INTEGER.</v>
      </c>
      <c r="G18" s="55" t="str">
        <f>IF(ISNA(E18),IF(ISNA(F18),"PASS","FAIL"),IFERROR(IF(E18=LEFT(F18,LEN(E18)),"PASS","FAIL"),"FAIL"))</f>
        <v>PASS</v>
      </c>
    </row>
    <row r="19" spans="1:7" x14ac:dyDescent="0.3">
      <c r="A19" s="52"/>
      <c r="B19" s="54"/>
      <c r="C19" s="11" t="s">
        <v>177</v>
      </c>
      <c r="D19" s="53"/>
      <c r="E19" s="52"/>
      <c r="F19" s="66"/>
      <c r="G19" s="56"/>
    </row>
    <row r="20" spans="1:7" ht="14.4" customHeight="1" x14ac:dyDescent="0.3">
      <c r="A20" s="52">
        <v>10</v>
      </c>
      <c r="B20" s="54" t="s">
        <v>179</v>
      </c>
      <c r="C20" s="8">
        <v>1</v>
      </c>
      <c r="D20" s="53"/>
      <c r="E20" s="52" t="s">
        <v>174</v>
      </c>
      <c r="F20" s="66" t="str" cm="1">
        <f t="array" ref="F20">_xll.DUCKDB.EXEC($D$2,C20:C21)</f>
        <v>Invalid Input Error: Error scanning xlrange: Column #1, row 2: Failed to convert value to INTEGER.</v>
      </c>
      <c r="G20" s="55" t="str">
        <f>IF(ISNA(E20),IF(ISNA(F20),"PASS","FAIL"),IFERROR(IF(E20=LEFT(F20,LEN(E20)),"PASS","FAIL"),"FAIL"))</f>
        <v>PASS</v>
      </c>
    </row>
    <row r="21" spans="1:7" x14ac:dyDescent="0.3">
      <c r="A21" s="52"/>
      <c r="B21" s="54"/>
      <c r="C21" s="11" t="s">
        <v>181</v>
      </c>
      <c r="D21" s="53"/>
      <c r="E21" s="52"/>
      <c r="F21" s="66"/>
      <c r="G21" s="56"/>
    </row>
    <row r="22" spans="1:7" x14ac:dyDescent="0.3">
      <c r="A22" s="52">
        <v>11</v>
      </c>
      <c r="B22" s="54" t="s">
        <v>179</v>
      </c>
      <c r="C22" s="8">
        <v>1</v>
      </c>
      <c r="D22" s="53"/>
      <c r="E22" s="52" t="s">
        <v>174</v>
      </c>
      <c r="F22" s="66" t="str" cm="1">
        <f t="array" ref="F22">_xll.DUCKDB.EXEC($D$2,C22:C23)</f>
        <v>Invalid Input Error: Error scanning xlrange: Column #1, row 2: Failed to convert value to INTEGER.</v>
      </c>
      <c r="G22" s="55" t="str">
        <f>IF(ISNA(E22),IF(ISNA(F22),"PASS","FAIL"),IFERROR(IF(E22=LEFT(F22,LEN(E22)),"PASS","FAIL"),"FAIL"))</f>
        <v>PASS</v>
      </c>
    </row>
    <row r="23" spans="1:7" x14ac:dyDescent="0.3">
      <c r="A23" s="52"/>
      <c r="B23" s="54"/>
      <c r="C23" s="8" t="b">
        <v>1</v>
      </c>
      <c r="D23" s="53"/>
      <c r="E23" s="52"/>
      <c r="F23" s="66"/>
      <c r="G23" s="56"/>
    </row>
    <row r="24" spans="1:7" x14ac:dyDescent="0.3">
      <c r="A24" s="52">
        <v>12</v>
      </c>
      <c r="B24" s="54" t="s">
        <v>179</v>
      </c>
      <c r="C24" s="8">
        <v>1</v>
      </c>
      <c r="D24" s="53"/>
      <c r="E24" s="52" t="s">
        <v>174</v>
      </c>
      <c r="F24" s="66" t="str" cm="1">
        <f t="array" ref="F24">_xll.DUCKDB.EXEC($D$2,C24:C25)</f>
        <v>Invalid Input Error: Error scanning xlrange: Column #1, row 2: Failed to convert value to INTEGER.</v>
      </c>
      <c r="G24" s="55" t="str">
        <f>IF(ISNA(E24),IF(ISNA(F24),"PASS","FAIL"),IFERROR(IF(E24=LEFT(F24,LEN(E24)),"PASS","FAIL"),"FAIL"))</f>
        <v>PASS</v>
      </c>
    </row>
    <row r="25" spans="1:7" x14ac:dyDescent="0.3">
      <c r="A25" s="52"/>
      <c r="B25" s="54"/>
      <c r="C25" s="11" t="s">
        <v>70</v>
      </c>
      <c r="D25" s="53"/>
      <c r="E25" s="52"/>
      <c r="F25" s="66"/>
      <c r="G25" s="56"/>
    </row>
    <row r="26" spans="1:7" x14ac:dyDescent="0.3">
      <c r="A26" s="52">
        <v>13</v>
      </c>
      <c r="B26" s="54" t="s">
        <v>179</v>
      </c>
      <c r="C26" s="8">
        <v>1</v>
      </c>
      <c r="D26" s="53"/>
      <c r="E26" s="52" t="s">
        <v>174</v>
      </c>
      <c r="F26" s="66" t="str" cm="1">
        <f t="array" ref="F26">_xll.DUCKDB.EXEC($D$2,C26:C27)</f>
        <v>Invalid Input Error: Error scanning xlrange: Column #1, row 2: Failed to convert value to INTEGER.</v>
      </c>
      <c r="G26" s="55" t="str">
        <f>IF(ISNA(E26),IF(ISNA(F26),"PASS","FAIL"),IFERROR(IF(E26=LEFT(F26,LEN(E26)),"PASS","FAIL"),"FAIL"))</f>
        <v>PASS</v>
      </c>
    </row>
    <row r="27" spans="1:7" x14ac:dyDescent="0.3">
      <c r="A27" s="52"/>
      <c r="B27" s="54"/>
      <c r="C27" s="11" t="s">
        <v>73</v>
      </c>
      <c r="D27" s="53"/>
      <c r="E27" s="52"/>
      <c r="F27" s="66"/>
      <c r="G27" s="56"/>
    </row>
    <row r="28" spans="1:7" x14ac:dyDescent="0.3">
      <c r="A28" s="52">
        <v>14</v>
      </c>
      <c r="B28" s="54" t="s">
        <v>179</v>
      </c>
      <c r="C28" s="8">
        <v>1</v>
      </c>
      <c r="D28" s="53"/>
      <c r="E28" s="52" t="s">
        <v>174</v>
      </c>
      <c r="F28" s="66" t="str" cm="1">
        <f t="array" ref="F28">_xll.DUCKDB.EXEC($D$2,C28:C29)</f>
        <v>Invalid Input Error: Error scanning xlrange: Column #1, row 2: Failed to convert value to INTEGER.</v>
      </c>
      <c r="G28" s="55" t="str">
        <f>IF(ISNA(E28),IF(ISNA(F28),"PASS","FAIL"),IFERROR(IF(E28=LEFT(F28,LEN(E28)),"PASS","FAIL"),"FAIL"))</f>
        <v>PASS</v>
      </c>
    </row>
    <row r="29" spans="1:7" x14ac:dyDescent="0.3">
      <c r="A29" s="52"/>
      <c r="B29" s="54"/>
      <c r="C29" s="11" t="s">
        <v>76</v>
      </c>
      <c r="D29" s="53"/>
      <c r="E29" s="52"/>
      <c r="F29" s="66"/>
      <c r="G29" s="56"/>
    </row>
    <row r="30" spans="1:7" x14ac:dyDescent="0.3">
      <c r="A30" s="52">
        <v>15</v>
      </c>
      <c r="B30" s="54" t="s">
        <v>179</v>
      </c>
      <c r="C30" s="8">
        <v>1</v>
      </c>
      <c r="D30" s="53"/>
      <c r="E30" s="52" t="s">
        <v>174</v>
      </c>
      <c r="F30" s="66" t="str" cm="1">
        <f t="array" ref="F30">_xll.DUCKDB.EXEC($D$2,C30:C31)</f>
        <v>Invalid Input Error: Error scanning xlrange: Column #1, row 2: Failed to convert value to INTEGER.</v>
      </c>
      <c r="G30" s="55" t="str">
        <f>IF(ISNA(E30),IF(ISNA(F30),"PASS","FAIL"),IFERROR(IF(E30=LEFT(F30,LEN(E30)),"PASS","FAIL"),"FAIL"))</f>
        <v>PASS</v>
      </c>
    </row>
    <row r="31" spans="1:7" x14ac:dyDescent="0.3">
      <c r="A31" s="52"/>
      <c r="B31" s="54"/>
      <c r="C31" s="11" t="s">
        <v>79</v>
      </c>
      <c r="D31" s="53"/>
      <c r="E31" s="52"/>
      <c r="F31" s="66"/>
      <c r="G31" s="56"/>
    </row>
    <row r="32" spans="1:7" x14ac:dyDescent="0.3">
      <c r="A32" s="52">
        <v>16</v>
      </c>
      <c r="B32" s="54" t="s">
        <v>179</v>
      </c>
      <c r="C32" s="8">
        <v>1</v>
      </c>
      <c r="D32" s="53"/>
      <c r="E32" s="52" t="s">
        <v>174</v>
      </c>
      <c r="F32" s="66" t="str" cm="1">
        <f t="array" ref="F32">_xll.DUCKDB.EXEC($D$2,C32:C33)</f>
        <v>Invalid Input Error: Error scanning xlrange: Column #1, row 2: Failed to convert value to INTEGER.</v>
      </c>
      <c r="G32" s="55" t="str">
        <f>IF(ISNA(E32),IF(ISNA(F32),"PASS","FAIL"),IFERROR(IF(E32=LEFT(F32,LEN(E32)),"PASS","FAIL"),"FAIL"))</f>
        <v>PASS</v>
      </c>
    </row>
    <row r="33" spans="1:7" x14ac:dyDescent="0.3">
      <c r="A33" s="52"/>
      <c r="B33" s="54"/>
      <c r="C33" s="11" t="s">
        <v>178</v>
      </c>
      <c r="D33" s="53"/>
      <c r="E33" s="52"/>
      <c r="F33" s="66"/>
      <c r="G33" s="56"/>
    </row>
    <row r="34" spans="1:7" x14ac:dyDescent="0.3">
      <c r="A34" s="52">
        <v>17</v>
      </c>
      <c r="B34" s="54" t="s">
        <v>179</v>
      </c>
      <c r="C34" s="8">
        <v>1</v>
      </c>
      <c r="D34" s="53"/>
      <c r="E34" s="52" t="s">
        <v>174</v>
      </c>
      <c r="F34" s="66" t="str" cm="1">
        <f t="array" ref="F34">_xll.DUCKDB.EXEC($D$2,C34:C35)</f>
        <v>Invalid Input Error: Error scanning xlrange: Column #1, row 2: Failed to convert value to INTEGER.</v>
      </c>
      <c r="G34" s="55" t="str">
        <f>IF(ISNA(E34),IF(ISNA(F34),"PASS","FAIL"),IFERROR(IF(E34=LEFT(F34,LEN(E34)),"PASS","FAIL"),"FAIL"))</f>
        <v>PASS</v>
      </c>
    </row>
    <row r="35" spans="1:7" x14ac:dyDescent="0.3">
      <c r="A35" s="52"/>
      <c r="B35" s="54"/>
      <c r="C35" s="11" t="s">
        <v>173</v>
      </c>
      <c r="D35" s="53"/>
      <c r="E35" s="52"/>
      <c r="F35" s="66"/>
      <c r="G35" s="56"/>
    </row>
    <row r="36" spans="1:7" x14ac:dyDescent="0.3">
      <c r="A36" s="52">
        <v>18</v>
      </c>
      <c r="B36" s="54" t="s">
        <v>179</v>
      </c>
      <c r="C36" s="8">
        <v>1</v>
      </c>
      <c r="D36" s="53"/>
      <c r="E36" s="52" t="s">
        <v>174</v>
      </c>
      <c r="F36" s="66" t="str" cm="1">
        <f t="array" ref="F36">_xll.DUCKDB.EXEC($D$2,C36:C37)</f>
        <v>Invalid Input Error: Error scanning xlrange: Column #1, row 2: Failed to convert value to INTEGER.</v>
      </c>
      <c r="G36" s="55" t="str">
        <f>IF(ISNA(E36),IF(ISNA(F36),"PASS","FAIL"),IFERROR(IF(E36=LEFT(F36,LEN(E36)),"PASS","FAIL"),"FAIL"))</f>
        <v>PASS</v>
      </c>
    </row>
    <row r="37" spans="1:7" x14ac:dyDescent="0.3">
      <c r="A37" s="52"/>
      <c r="B37" s="54"/>
      <c r="C37" s="11" t="s">
        <v>182</v>
      </c>
      <c r="D37" s="53"/>
      <c r="E37" s="52"/>
      <c r="F37" s="66"/>
      <c r="G37" s="56"/>
    </row>
    <row r="38" spans="1:7" ht="14.4" customHeight="1" x14ac:dyDescent="0.3">
      <c r="A38" s="52">
        <v>19</v>
      </c>
      <c r="B38" s="54" t="s">
        <v>183</v>
      </c>
      <c r="C38" s="8">
        <v>1.2</v>
      </c>
      <c r="D38" s="53"/>
      <c r="E38" s="67">
        <v>3.4</v>
      </c>
      <c r="F38" s="69" cm="1">
        <f t="array" ref="F38">INDEX(_xll.DUCKDB.EXEC($D$2,C38:C39),3)</f>
        <v>3.4</v>
      </c>
      <c r="G38" s="55" t="str">
        <f>IF(E38=F38,"PASS","FAIL")</f>
        <v>PASS</v>
      </c>
    </row>
    <row r="39" spans="1:7" x14ac:dyDescent="0.3">
      <c r="A39" s="52"/>
      <c r="B39" s="54"/>
      <c r="C39" s="8">
        <v>3.4</v>
      </c>
      <c r="D39" s="53"/>
      <c r="E39" s="67"/>
      <c r="F39" s="69"/>
      <c r="G39" s="56"/>
    </row>
    <row r="40" spans="1:7" ht="14.4" customHeight="1" x14ac:dyDescent="0.3">
      <c r="A40" s="52">
        <v>20</v>
      </c>
      <c r="B40" s="54" t="s">
        <v>183</v>
      </c>
      <c r="C40" s="8">
        <v>1.2</v>
      </c>
      <c r="D40" s="53"/>
      <c r="E40" s="67">
        <v>1</v>
      </c>
      <c r="F40" s="69" cm="1">
        <f t="array" ref="F40">INDEX(_xll.DUCKDB.EXEC($D$2,C40:C41),3)</f>
        <v>1</v>
      </c>
      <c r="G40" s="55" t="str">
        <f>IF(E40=F40,"PASS","FAIL")</f>
        <v>PASS</v>
      </c>
    </row>
    <row r="41" spans="1:7" x14ac:dyDescent="0.3">
      <c r="A41" s="52"/>
      <c r="B41" s="54"/>
      <c r="C41" s="8">
        <v>1</v>
      </c>
      <c r="D41" s="53"/>
      <c r="E41" s="67"/>
      <c r="F41" s="69"/>
      <c r="G41" s="56"/>
    </row>
    <row r="42" spans="1:7" x14ac:dyDescent="0.3">
      <c r="A42" s="52">
        <v>21</v>
      </c>
      <c r="B42" s="54" t="s">
        <v>183</v>
      </c>
      <c r="C42" s="8">
        <v>1.2</v>
      </c>
      <c r="D42" s="53"/>
      <c r="E42" s="67">
        <v>1</v>
      </c>
      <c r="F42" s="68" cm="1">
        <f t="array" ref="F42">INDEX(_xll.DUCKDB.EXEC($D$2,C42:C43),3)</f>
        <v>1</v>
      </c>
      <c r="G42" s="55" t="str">
        <f>IF(E42=F42,"PASS","FAIL")</f>
        <v>PASS</v>
      </c>
    </row>
    <row r="43" spans="1:7" x14ac:dyDescent="0.3">
      <c r="A43" s="52"/>
      <c r="B43" s="54"/>
      <c r="C43" s="11" t="s">
        <v>63</v>
      </c>
      <c r="D43" s="53"/>
      <c r="E43" s="67"/>
      <c r="F43" s="68"/>
      <c r="G43" s="56"/>
    </row>
    <row r="44" spans="1:7" x14ac:dyDescent="0.3">
      <c r="A44" s="52">
        <v>22</v>
      </c>
      <c r="B44" s="54" t="s">
        <v>183</v>
      </c>
      <c r="C44" s="8">
        <v>1.2</v>
      </c>
      <c r="D44" s="53"/>
      <c r="E44" s="67">
        <v>3.4</v>
      </c>
      <c r="F44" s="68" cm="1">
        <f t="array" ref="F44">INDEX(_xll.DUCKDB.EXEC($D$2,C44:C45),3)</f>
        <v>3.4</v>
      </c>
      <c r="G44" s="55" t="str">
        <f>IF(E44=F44,"PASS","FAIL")</f>
        <v>PASS</v>
      </c>
    </row>
    <row r="45" spans="1:7" x14ac:dyDescent="0.3">
      <c r="A45" s="52"/>
      <c r="B45" s="54"/>
      <c r="C45" s="11" t="s">
        <v>184</v>
      </c>
      <c r="D45" s="53"/>
      <c r="E45" s="67"/>
      <c r="F45" s="68"/>
      <c r="G45" s="56"/>
    </row>
    <row r="46" spans="1:7" x14ac:dyDescent="0.3">
      <c r="A46" s="52">
        <v>23</v>
      </c>
      <c r="B46" s="54" t="s">
        <v>183</v>
      </c>
      <c r="C46" s="8">
        <v>1.2</v>
      </c>
      <c r="D46" s="53"/>
      <c r="E46" s="67">
        <v>10</v>
      </c>
      <c r="F46" s="68" cm="1">
        <f t="array" ref="F46">INDEX(_xll.DUCKDB.EXEC($D$2,C46:C47),3)</f>
        <v>10</v>
      </c>
      <c r="G46" s="55" t="str">
        <f>IF(E46=F46,"PASS","FAIL")</f>
        <v>PASS</v>
      </c>
    </row>
    <row r="47" spans="1:7" x14ac:dyDescent="0.3">
      <c r="A47" s="52"/>
      <c r="B47" s="54"/>
      <c r="C47" s="11" t="s">
        <v>132</v>
      </c>
      <c r="D47" s="53"/>
      <c r="E47" s="67"/>
      <c r="F47" s="68"/>
      <c r="G47" s="56"/>
    </row>
    <row r="48" spans="1:7" x14ac:dyDescent="0.3">
      <c r="A48" s="52">
        <v>24</v>
      </c>
      <c r="B48" s="54" t="s">
        <v>183</v>
      </c>
      <c r="C48" s="8">
        <v>1.2</v>
      </c>
      <c r="D48" s="53"/>
      <c r="E48" s="67">
        <v>0.1</v>
      </c>
      <c r="F48" s="68" cm="1">
        <f t="array" ref="F48">INDEX(_xll.DUCKDB.EXEC($D$2,C48:C49),3)</f>
        <v>0.1</v>
      </c>
      <c r="G48" s="55" t="str">
        <f>IF(E48=F48,"PASS","FAIL")</f>
        <v>PASS</v>
      </c>
    </row>
    <row r="49" spans="1:7" x14ac:dyDescent="0.3">
      <c r="A49" s="52"/>
      <c r="B49" s="54"/>
      <c r="C49" s="11" t="s">
        <v>185</v>
      </c>
      <c r="D49" s="53"/>
      <c r="E49" s="67"/>
      <c r="F49" s="68"/>
      <c r="G49" s="56"/>
    </row>
    <row r="50" spans="1:7" x14ac:dyDescent="0.3">
      <c r="A50" s="52">
        <v>25</v>
      </c>
      <c r="B50" s="54" t="s">
        <v>183</v>
      </c>
      <c r="C50" s="8">
        <v>1.2</v>
      </c>
      <c r="D50" s="53"/>
      <c r="E50" s="67">
        <v>0.1</v>
      </c>
      <c r="F50" s="68" cm="1">
        <f t="array" ref="F50">INDEX(_xll.DUCKDB.EXEC($D$2,C50:C51),3)</f>
        <v>0.1</v>
      </c>
      <c r="G50" s="55" t="str">
        <f>IF(E50=F50,"PASS","FAIL")</f>
        <v>PASS</v>
      </c>
    </row>
    <row r="51" spans="1:7" x14ac:dyDescent="0.3">
      <c r="A51" s="52"/>
      <c r="B51" s="54"/>
      <c r="C51" s="11" t="s">
        <v>186</v>
      </c>
      <c r="D51" s="53"/>
      <c r="E51" s="67"/>
      <c r="F51" s="68"/>
      <c r="G51" s="56"/>
    </row>
    <row r="52" spans="1:7" x14ac:dyDescent="0.3">
      <c r="A52" s="52">
        <v>26</v>
      </c>
      <c r="B52" s="54" t="s">
        <v>183</v>
      </c>
      <c r="C52" s="8">
        <v>1.2</v>
      </c>
      <c r="D52" s="53"/>
      <c r="E52" s="52" t="s">
        <v>174</v>
      </c>
      <c r="F52" s="66" t="str" cm="1">
        <f t="array" ref="F52">_xll.DUCKDB.EXEC($D$2,C52:C53)</f>
        <v>Invalid Input Error: Error scanning xlrange: Column #1, row 2: Failed to convert value to DOUBLE.</v>
      </c>
      <c r="G52" s="55" t="str">
        <f>IF(ISNA(E52),IF(ISNA(F52),"PASS","FAIL"),IFERROR(IF(E52=LEFT(F52,LEN(E52)),"PASS","FAIL"),"FAIL"))</f>
        <v>PASS</v>
      </c>
    </row>
    <row r="53" spans="1:7" x14ac:dyDescent="0.3">
      <c r="A53" s="52"/>
      <c r="B53" s="54"/>
      <c r="C53" s="8" t="s">
        <v>45</v>
      </c>
      <c r="D53" s="53"/>
      <c r="E53" s="52"/>
      <c r="F53" s="66"/>
      <c r="G53" s="56"/>
    </row>
    <row r="54" spans="1:7" x14ac:dyDescent="0.3">
      <c r="A54" s="52">
        <v>27</v>
      </c>
      <c r="B54" s="54" t="s">
        <v>183</v>
      </c>
      <c r="C54" s="8">
        <v>1.2</v>
      </c>
      <c r="D54" s="53"/>
      <c r="E54" s="52" t="s">
        <v>174</v>
      </c>
      <c r="F54" s="66" t="str" cm="1">
        <f t="array" ref="F54">_xll.DUCKDB.EXEC($D$2,C54:C55)</f>
        <v>Invalid Input Error: Error scanning xlrange: Column #1, row 2: Failed to convert value to DOUBLE.</v>
      </c>
      <c r="G54" s="55" t="str">
        <f>IF(ISNA(E54),IF(ISNA(F54),"PASS","FAIL"),IFERROR(IF(E54=LEFT(F54,LEN(E54)),"PASS","FAIL"),"FAIL"))</f>
        <v>PASS</v>
      </c>
    </row>
    <row r="55" spans="1:7" x14ac:dyDescent="0.3">
      <c r="A55" s="52"/>
      <c r="B55" s="54"/>
      <c r="C55" s="8" t="b">
        <v>1</v>
      </c>
      <c r="D55" s="53"/>
      <c r="E55" s="52"/>
      <c r="F55" s="66"/>
      <c r="G55" s="56"/>
    </row>
    <row r="56" spans="1:7" x14ac:dyDescent="0.3">
      <c r="A56" s="52">
        <v>28</v>
      </c>
      <c r="B56" s="54" t="s">
        <v>183</v>
      </c>
      <c r="C56" s="8">
        <v>1.2</v>
      </c>
      <c r="D56" s="53"/>
      <c r="E56" s="52" t="s">
        <v>174</v>
      </c>
      <c r="F56" s="66" t="str" cm="1">
        <f t="array" ref="F56">_xll.DUCKDB.EXEC($D$2,C56:C57)</f>
        <v>Invalid Input Error: Error scanning xlrange: Column #1, row 2: Failed to convert value to DOUBLE.</v>
      </c>
      <c r="G56" s="55" t="str">
        <f>IF(ISNA(E56),IF(ISNA(F56),"PASS","FAIL"),IFERROR(IF(E56=LEFT(F56,LEN(E56)),"PASS","FAIL"),"FAIL"))</f>
        <v>PASS</v>
      </c>
    </row>
    <row r="57" spans="1:7" x14ac:dyDescent="0.3">
      <c r="A57" s="52"/>
      <c r="B57" s="54"/>
      <c r="C57" s="11" t="s">
        <v>70</v>
      </c>
      <c r="D57" s="53"/>
      <c r="E57" s="52"/>
      <c r="F57" s="66"/>
      <c r="G57" s="56"/>
    </row>
    <row r="58" spans="1:7" x14ac:dyDescent="0.3">
      <c r="A58" s="52">
        <v>29</v>
      </c>
      <c r="B58" s="54" t="s">
        <v>183</v>
      </c>
      <c r="C58" s="8">
        <v>1.2</v>
      </c>
      <c r="D58" s="53"/>
      <c r="E58" s="52" t="s">
        <v>174</v>
      </c>
      <c r="F58" s="66" t="str" cm="1">
        <f t="array" ref="F58">_xll.DUCKDB.EXEC($D$2,C58:C59)</f>
        <v>Invalid Input Error: Error scanning xlrange: Column #1, row 2: Failed to convert value to DOUBLE.</v>
      </c>
      <c r="G58" s="55" t="str">
        <f>IF(ISNA(E58),IF(ISNA(F58),"PASS","FAIL"),IFERROR(IF(E58=LEFT(F58,LEN(E58)),"PASS","FAIL"),"FAIL"))</f>
        <v>PASS</v>
      </c>
    </row>
    <row r="59" spans="1:7" x14ac:dyDescent="0.3">
      <c r="A59" s="52"/>
      <c r="B59" s="54"/>
      <c r="C59" s="11" t="s">
        <v>73</v>
      </c>
      <c r="D59" s="53"/>
      <c r="E59" s="52"/>
      <c r="F59" s="66"/>
      <c r="G59" s="56"/>
    </row>
    <row r="60" spans="1:7" x14ac:dyDescent="0.3">
      <c r="A60" s="52">
        <v>30</v>
      </c>
      <c r="B60" s="54" t="s">
        <v>183</v>
      </c>
      <c r="C60" s="8">
        <v>1.2</v>
      </c>
      <c r="D60" s="53"/>
      <c r="E60" s="52" t="s">
        <v>174</v>
      </c>
      <c r="F60" s="66" t="str" cm="1">
        <f t="array" ref="F60">_xll.DUCKDB.EXEC($D$2,C60:C61)</f>
        <v>Invalid Input Error: Error scanning xlrange: Column #1, row 2: Failed to convert value to DOUBLE.</v>
      </c>
      <c r="G60" s="55" t="str">
        <f>IF(ISNA(E60),IF(ISNA(F60),"PASS","FAIL"),IFERROR(IF(E60=LEFT(F60,LEN(E60)),"PASS","FAIL"),"FAIL"))</f>
        <v>PASS</v>
      </c>
    </row>
    <row r="61" spans="1:7" x14ac:dyDescent="0.3">
      <c r="A61" s="52"/>
      <c r="B61" s="54"/>
      <c r="C61" s="11" t="s">
        <v>76</v>
      </c>
      <c r="D61" s="53"/>
      <c r="E61" s="52"/>
      <c r="F61" s="66"/>
      <c r="G61" s="56"/>
    </row>
    <row r="62" spans="1:7" x14ac:dyDescent="0.3">
      <c r="A62" s="52">
        <v>31</v>
      </c>
      <c r="B62" s="54" t="s">
        <v>183</v>
      </c>
      <c r="C62" s="8">
        <v>1.2</v>
      </c>
      <c r="D62" s="53"/>
      <c r="E62" s="52" t="s">
        <v>174</v>
      </c>
      <c r="F62" s="66" t="str" cm="1">
        <f t="array" ref="F62">_xll.DUCKDB.EXEC($D$2,C62:C63)</f>
        <v>Invalid Input Error: Error scanning xlrange: Column #1, row 2: Failed to convert value to DOUBLE.</v>
      </c>
      <c r="G62" s="55" t="str">
        <f>IF(ISNA(E62),IF(ISNA(F62),"PASS","FAIL"),IFERROR(IF(E62=LEFT(F62,LEN(E62)),"PASS","FAIL"),"FAIL"))</f>
        <v>PASS</v>
      </c>
    </row>
    <row r="63" spans="1:7" x14ac:dyDescent="0.3">
      <c r="A63" s="52"/>
      <c r="B63" s="54"/>
      <c r="C63" s="11" t="s">
        <v>79</v>
      </c>
      <c r="D63" s="53"/>
      <c r="E63" s="52"/>
      <c r="F63" s="66"/>
      <c r="G63" s="56"/>
    </row>
    <row r="64" spans="1:7" x14ac:dyDescent="0.3">
      <c r="A64" s="52">
        <v>32</v>
      </c>
      <c r="B64" s="54" t="s">
        <v>183</v>
      </c>
      <c r="C64" s="8">
        <v>1.2</v>
      </c>
      <c r="D64" s="53"/>
      <c r="E64" s="52" t="s">
        <v>174</v>
      </c>
      <c r="F64" s="66" t="str" cm="1">
        <f t="array" ref="F64">_xll.DUCKDB.EXEC($D$2,C64:C65)</f>
        <v>Invalid Input Error: Error scanning xlrange: Column #1, row 2: Failed to convert value to DOUBLE.</v>
      </c>
      <c r="G64" s="55" t="str">
        <f>IF(ISNA(E64),IF(ISNA(F64),"PASS","FAIL"),IFERROR(IF(E64=LEFT(F64,LEN(E64)),"PASS","FAIL"),"FAIL"))</f>
        <v>PASS</v>
      </c>
    </row>
    <row r="65" spans="1:7" x14ac:dyDescent="0.3">
      <c r="A65" s="52"/>
      <c r="B65" s="54"/>
      <c r="C65" s="11" t="s">
        <v>178</v>
      </c>
      <c r="D65" s="53"/>
      <c r="E65" s="52"/>
      <c r="F65" s="66"/>
      <c r="G65" s="56"/>
    </row>
    <row r="66" spans="1:7" x14ac:dyDescent="0.3">
      <c r="A66" s="52">
        <v>33</v>
      </c>
      <c r="B66" s="54" t="s">
        <v>183</v>
      </c>
      <c r="C66" s="8">
        <v>1.2</v>
      </c>
      <c r="D66" s="53"/>
      <c r="E66" s="52" t="s">
        <v>174</v>
      </c>
      <c r="F66" s="66" t="str" cm="1">
        <f t="array" ref="F66">_xll.DUCKDB.EXEC($D$2,C66:C67)</f>
        <v>Invalid Input Error: Error scanning xlrange: Column #1, row 2: Failed to convert value to DOUBLE.</v>
      </c>
      <c r="G66" s="55" t="str">
        <f>IF(ISNA(E66),IF(ISNA(F66),"PASS","FAIL"),IFERROR(IF(E66=LEFT(F66,LEN(E66)),"PASS","FAIL"),"FAIL"))</f>
        <v>PASS</v>
      </c>
    </row>
    <row r="67" spans="1:7" x14ac:dyDescent="0.3">
      <c r="A67" s="52"/>
      <c r="B67" s="54"/>
      <c r="C67" s="11" t="s">
        <v>173</v>
      </c>
      <c r="D67" s="53"/>
      <c r="E67" s="52"/>
      <c r="F67" s="66"/>
      <c r="G67" s="56"/>
    </row>
    <row r="68" spans="1:7" x14ac:dyDescent="0.3">
      <c r="A68" s="52">
        <v>34</v>
      </c>
      <c r="B68" s="54" t="s">
        <v>183</v>
      </c>
      <c r="C68" s="8">
        <v>1.2</v>
      </c>
      <c r="D68" s="53"/>
      <c r="E68" s="52" t="s">
        <v>174</v>
      </c>
      <c r="F68" s="66" t="str" cm="1">
        <f t="array" ref="F68">_xll.DUCKDB.EXEC($D$2,C68:C69)</f>
        <v>Invalid Input Error: Error scanning xlrange: Column #1, row 2: Failed to convert value to DOUBLE.</v>
      </c>
      <c r="G68" s="55" t="str">
        <f>IF(ISNA(E68),IF(ISNA(F68),"PASS","FAIL"),IFERROR(IF(E68=LEFT(F68,LEN(E68)),"PASS","FAIL"),"FAIL"))</f>
        <v>PASS</v>
      </c>
    </row>
    <row r="69" spans="1:7" x14ac:dyDescent="0.3">
      <c r="A69" s="52"/>
      <c r="B69" s="54"/>
      <c r="C69" s="11" t="s">
        <v>182</v>
      </c>
      <c r="D69" s="53"/>
      <c r="E69" s="52"/>
      <c r="F69" s="66"/>
      <c r="G69" s="56"/>
    </row>
    <row r="70" spans="1:7" x14ac:dyDescent="0.3">
      <c r="A70" s="52">
        <v>35</v>
      </c>
      <c r="B70" s="54" t="s">
        <v>187</v>
      </c>
      <c r="C70" s="8" t="b">
        <v>1</v>
      </c>
      <c r="D70" s="53"/>
      <c r="E70" s="52" t="b">
        <v>0</v>
      </c>
      <c r="F70" s="70" t="b" cm="1">
        <f t="array" ref="F70">INDEX(_xll.DUCKDB.EXEC($D$2,C70:C71),3)</f>
        <v>0</v>
      </c>
      <c r="G70" s="55" t="str">
        <f>IF(E70=F70,"PASS","FAIL")</f>
        <v>PASS</v>
      </c>
    </row>
    <row r="71" spans="1:7" x14ac:dyDescent="0.3">
      <c r="A71" s="52"/>
      <c r="B71" s="54"/>
      <c r="C71" s="26" t="b">
        <v>0</v>
      </c>
      <c r="D71" s="53"/>
      <c r="E71" s="52"/>
      <c r="F71" s="70"/>
      <c r="G71" s="56"/>
    </row>
    <row r="72" spans="1:7" x14ac:dyDescent="0.3">
      <c r="A72" s="52">
        <v>36</v>
      </c>
      <c r="B72" s="54" t="s">
        <v>187</v>
      </c>
      <c r="C72" s="8" t="b">
        <v>1</v>
      </c>
      <c r="D72" s="53"/>
      <c r="E72" s="52" t="b">
        <v>0</v>
      </c>
      <c r="F72" s="70" t="b" cm="1">
        <f t="array" ref="F72">INDEX(_xll.DUCKDB.EXEC($D$2,C72:C73),3)</f>
        <v>0</v>
      </c>
      <c r="G72" s="55" t="str">
        <f>IF(E72=F72,"PASS","FAIL")</f>
        <v>PASS</v>
      </c>
    </row>
    <row r="73" spans="1:7" x14ac:dyDescent="0.3">
      <c r="A73" s="52"/>
      <c r="B73" s="54"/>
      <c r="C73" s="30" t="s">
        <v>71</v>
      </c>
      <c r="D73" s="53"/>
      <c r="E73" s="52"/>
      <c r="F73" s="70"/>
      <c r="G73" s="56"/>
    </row>
    <row r="74" spans="1:7" x14ac:dyDescent="0.3">
      <c r="A74" s="52">
        <v>37</v>
      </c>
      <c r="B74" s="54" t="s">
        <v>187</v>
      </c>
      <c r="C74" s="8" t="b">
        <v>1</v>
      </c>
      <c r="D74" s="53"/>
      <c r="E74" s="52" t="b">
        <v>0</v>
      </c>
      <c r="F74" s="70" t="b" cm="1">
        <f t="array" ref="F74">INDEX(_xll.DUCKDB.EXEC($D$2,C74:C75),3)</f>
        <v>0</v>
      </c>
      <c r="G74" s="55" t="str">
        <f>IF(E74=F74,"PASS","FAIL")</f>
        <v>PASS</v>
      </c>
    </row>
    <row r="75" spans="1:7" x14ac:dyDescent="0.3">
      <c r="A75" s="52"/>
      <c r="B75" s="54"/>
      <c r="C75" s="30" t="s">
        <v>73</v>
      </c>
      <c r="D75" s="53"/>
      <c r="E75" s="52"/>
      <c r="F75" s="70"/>
      <c r="G75" s="56"/>
    </row>
    <row r="76" spans="1:7" x14ac:dyDescent="0.3">
      <c r="A76" s="52">
        <v>38</v>
      </c>
      <c r="B76" s="54" t="s">
        <v>187</v>
      </c>
      <c r="C76" s="8" t="b">
        <v>1</v>
      </c>
      <c r="D76" s="53"/>
      <c r="E76" s="52" t="b">
        <v>0</v>
      </c>
      <c r="F76" s="70" t="b" cm="1">
        <f t="array" ref="F76">INDEX(_xll.DUCKDB.EXEC($D$2,C76:C77),3)</f>
        <v>0</v>
      </c>
      <c r="G76" s="55" t="str">
        <f>IF(E76=F76,"PASS","FAIL")</f>
        <v>PASS</v>
      </c>
    </row>
    <row r="77" spans="1:7" x14ac:dyDescent="0.3">
      <c r="A77" s="52"/>
      <c r="B77" s="54"/>
      <c r="C77" s="30" t="s">
        <v>77</v>
      </c>
      <c r="D77" s="53"/>
      <c r="E77" s="52"/>
      <c r="F77" s="70"/>
      <c r="G77" s="56"/>
    </row>
    <row r="78" spans="1:7" x14ac:dyDescent="0.3">
      <c r="A78" s="52">
        <v>39</v>
      </c>
      <c r="B78" s="54" t="s">
        <v>187</v>
      </c>
      <c r="C78" s="8" t="b">
        <v>1</v>
      </c>
      <c r="D78" s="53"/>
      <c r="E78" s="52" t="b">
        <v>0</v>
      </c>
      <c r="F78" s="70" t="b" cm="1">
        <f t="array" ref="F78">INDEX(_xll.DUCKDB.EXEC($D$2,C78:C79),3)</f>
        <v>0</v>
      </c>
      <c r="G78" s="55" t="str">
        <f>IF(E78=F78,"PASS","FAIL")</f>
        <v>PASS</v>
      </c>
    </row>
    <row r="79" spans="1:7" x14ac:dyDescent="0.3">
      <c r="A79" s="52"/>
      <c r="B79" s="54"/>
      <c r="C79" s="30" t="s">
        <v>79</v>
      </c>
      <c r="D79" s="53"/>
      <c r="E79" s="52"/>
      <c r="F79" s="70"/>
      <c r="G79" s="56"/>
    </row>
    <row r="80" spans="1:7" x14ac:dyDescent="0.3">
      <c r="A80" s="52">
        <v>40</v>
      </c>
      <c r="B80" s="54" t="s">
        <v>187</v>
      </c>
      <c r="C80" s="8" t="b">
        <v>1</v>
      </c>
      <c r="D80" s="53"/>
      <c r="E80" s="52" t="b">
        <v>1</v>
      </c>
      <c r="F80" s="70" t="b" cm="1">
        <f t="array" ref="F80">INDEX(_xll.DUCKDB.EXEC($D$2,C80:C81),3)</f>
        <v>1</v>
      </c>
      <c r="G80" s="55" t="str">
        <f>IF(E80=F80,"PASS","FAIL")</f>
        <v>PASS</v>
      </c>
    </row>
    <row r="81" spans="1:7" x14ac:dyDescent="0.3">
      <c r="A81" s="52"/>
      <c r="B81" s="54"/>
      <c r="C81" s="30" t="s">
        <v>178</v>
      </c>
      <c r="D81" s="53"/>
      <c r="E81" s="52"/>
      <c r="F81" s="70"/>
      <c r="G81" s="56"/>
    </row>
    <row r="82" spans="1:7" x14ac:dyDescent="0.3">
      <c r="A82" s="52">
        <v>41</v>
      </c>
      <c r="B82" s="54" t="s">
        <v>187</v>
      </c>
      <c r="C82" s="8" t="b">
        <v>1</v>
      </c>
      <c r="D82" s="53"/>
      <c r="E82" s="52" t="b">
        <v>1</v>
      </c>
      <c r="F82" s="70" t="b" cm="1">
        <f t="array" ref="F82">INDEX(_xll.DUCKDB.EXEC($D$2,C82:C83),3)</f>
        <v>1</v>
      </c>
      <c r="G82" s="55" t="str">
        <f>IF(E82=F82,"PASS","FAIL")</f>
        <v>PASS</v>
      </c>
    </row>
    <row r="83" spans="1:7" x14ac:dyDescent="0.3">
      <c r="A83" s="52"/>
      <c r="B83" s="54"/>
      <c r="C83" s="30" t="s">
        <v>188</v>
      </c>
      <c r="D83" s="53"/>
      <c r="E83" s="52"/>
      <c r="F83" s="70"/>
      <c r="G83" s="56"/>
    </row>
    <row r="84" spans="1:7" x14ac:dyDescent="0.3">
      <c r="A84" s="52">
        <v>42</v>
      </c>
      <c r="B84" s="54" t="s">
        <v>187</v>
      </c>
      <c r="C84" s="8" t="b">
        <v>1</v>
      </c>
      <c r="D84" s="53"/>
      <c r="E84" s="52" t="b">
        <v>0</v>
      </c>
      <c r="F84" s="70" t="b" cm="1">
        <f t="array" ref="F84">INDEX(_xll.DUCKDB.EXEC($D$2,C84:C85),3)</f>
        <v>0</v>
      </c>
      <c r="G84" s="55" t="str">
        <f>IF(E84=F84,"PASS","FAIL")</f>
        <v>PASS</v>
      </c>
    </row>
    <row r="85" spans="1:7" x14ac:dyDescent="0.3">
      <c r="A85" s="52"/>
      <c r="B85" s="54"/>
      <c r="C85" s="31">
        <v>0</v>
      </c>
      <c r="D85" s="53"/>
      <c r="E85" s="52"/>
      <c r="F85" s="70"/>
      <c r="G85" s="56"/>
    </row>
    <row r="86" spans="1:7" x14ac:dyDescent="0.3">
      <c r="A86" s="52">
        <v>43</v>
      </c>
      <c r="B86" s="54" t="s">
        <v>187</v>
      </c>
      <c r="C86" s="8" t="b">
        <v>1</v>
      </c>
      <c r="D86" s="53"/>
      <c r="E86" s="52" t="b">
        <v>1</v>
      </c>
      <c r="F86" s="70" t="b" cm="1">
        <f t="array" ref="F86">INDEX(_xll.DUCKDB.EXEC($D$2,C86:C87),3)</f>
        <v>1</v>
      </c>
      <c r="G86" s="55" t="str">
        <f>IF(E86=F86,"PASS","FAIL")</f>
        <v>PASS</v>
      </c>
    </row>
    <row r="87" spans="1:7" x14ac:dyDescent="0.3">
      <c r="A87" s="52"/>
      <c r="B87" s="54"/>
      <c r="C87" s="30" t="s">
        <v>62</v>
      </c>
      <c r="D87" s="53"/>
      <c r="E87" s="52"/>
      <c r="F87" s="70"/>
      <c r="G87" s="56"/>
    </row>
    <row r="88" spans="1:7" x14ac:dyDescent="0.3">
      <c r="A88" s="52">
        <v>44</v>
      </c>
      <c r="B88" s="54" t="s">
        <v>187</v>
      </c>
      <c r="C88" s="8" t="b">
        <v>1</v>
      </c>
      <c r="D88" s="53"/>
      <c r="E88" s="52" t="b">
        <v>1</v>
      </c>
      <c r="F88" s="70" t="b" cm="1">
        <f t="array" ref="F88">INDEX(_xll.DUCKDB.EXEC($D$2,C88:C89),3)</f>
        <v>1</v>
      </c>
      <c r="G88" s="55" t="str">
        <f>IF(E88=F88,"PASS","FAIL")</f>
        <v>PASS</v>
      </c>
    </row>
    <row r="89" spans="1:7" x14ac:dyDescent="0.3">
      <c r="A89" s="52"/>
      <c r="B89" s="54"/>
      <c r="C89" s="30" t="s">
        <v>63</v>
      </c>
      <c r="D89" s="53"/>
      <c r="E89" s="52"/>
      <c r="F89" s="70"/>
      <c r="G89" s="56"/>
    </row>
    <row r="90" spans="1:7" x14ac:dyDescent="0.3">
      <c r="A90" s="52">
        <v>45</v>
      </c>
      <c r="B90" s="54" t="s">
        <v>187</v>
      </c>
      <c r="C90" s="8" t="b">
        <v>1</v>
      </c>
      <c r="D90" s="53"/>
      <c r="E90" s="52" t="b">
        <v>1</v>
      </c>
      <c r="F90" s="70" t="b" cm="1">
        <f t="array" ref="F90">INDEX(_xll.DUCKDB.EXEC($D$2,C90:C91),3)</f>
        <v>1</v>
      </c>
      <c r="G90" s="55" t="str">
        <f>IF(E90=F90,"PASS","FAIL")</f>
        <v>PASS</v>
      </c>
    </row>
    <row r="91" spans="1:7" x14ac:dyDescent="0.3">
      <c r="A91" s="52"/>
      <c r="B91" s="54"/>
      <c r="C91" s="30" t="s">
        <v>190</v>
      </c>
      <c r="D91" s="53"/>
      <c r="E91" s="52"/>
      <c r="F91" s="70"/>
      <c r="G91" s="56"/>
    </row>
    <row r="92" spans="1:7" x14ac:dyDescent="0.3">
      <c r="A92" s="52">
        <v>46</v>
      </c>
      <c r="B92" s="54" t="s">
        <v>187</v>
      </c>
      <c r="C92" s="8" t="b">
        <v>1</v>
      </c>
      <c r="D92" s="53"/>
      <c r="E92" s="52" t="b">
        <v>1</v>
      </c>
      <c r="F92" s="70" t="b" cm="1">
        <f t="array" ref="F92">INDEX(_xll.DUCKDB.EXEC($D$2,C92:C93),3)</f>
        <v>1</v>
      </c>
      <c r="G92" s="55" t="str">
        <f>IF(E92=F92,"PASS","FAIL")</f>
        <v>PASS</v>
      </c>
    </row>
    <row r="93" spans="1:7" x14ac:dyDescent="0.3">
      <c r="A93" s="52"/>
      <c r="B93" s="54"/>
      <c r="C93" s="30" t="s">
        <v>191</v>
      </c>
      <c r="D93" s="53"/>
      <c r="E93" s="52"/>
      <c r="F93" s="70"/>
      <c r="G93" s="56"/>
    </row>
    <row r="94" spans="1:7" x14ac:dyDescent="0.3">
      <c r="A94" s="52">
        <v>47</v>
      </c>
      <c r="B94" s="54" t="s">
        <v>187</v>
      </c>
      <c r="C94" s="8" t="b">
        <v>1</v>
      </c>
      <c r="D94" s="53"/>
      <c r="E94" s="52" t="s">
        <v>174</v>
      </c>
      <c r="F94" s="66" t="str" cm="1">
        <f t="array" ref="F94">_xll.DUCKDB.EXEC($D$2,C94:C95)</f>
        <v>Invalid Input Error: Error scanning xlrange: Column #1, row 2: Failed to convert value to BOOLEAN.</v>
      </c>
      <c r="G94" s="55" t="str">
        <f t="shared" ref="G94" si="0">IF(ISNA(E94),IF(ISNA(F94),"PASS","FAIL"),IFERROR(IF(E94=LEFT(F94,LEN(E94)),"PASS","FAIL"),"FAIL"))</f>
        <v>PASS</v>
      </c>
    </row>
    <row r="95" spans="1:7" x14ac:dyDescent="0.3">
      <c r="A95" s="52"/>
      <c r="B95" s="54"/>
      <c r="C95" s="31">
        <v>2</v>
      </c>
      <c r="D95" s="53"/>
      <c r="E95" s="52"/>
      <c r="F95" s="66"/>
      <c r="G95" s="56"/>
    </row>
    <row r="96" spans="1:7" x14ac:dyDescent="0.3">
      <c r="A96" s="52">
        <v>48</v>
      </c>
      <c r="B96" s="54" t="s">
        <v>187</v>
      </c>
      <c r="C96" s="8" t="b">
        <v>1</v>
      </c>
      <c r="D96" s="53"/>
      <c r="E96" s="52" t="s">
        <v>174</v>
      </c>
      <c r="F96" s="66" t="str" cm="1">
        <f t="array" ref="F96">_xll.DUCKDB.EXEC($D$2,C96:C97)</f>
        <v>Invalid Input Error: Error scanning xlrange: Column #1, row 2: Failed to convert value to BOOLEAN.</v>
      </c>
      <c r="G96" s="55" t="str">
        <f t="shared" ref="G96" si="1">IF(ISNA(E96),IF(ISNA(F96),"PASS","FAIL"),IFERROR(IF(E96=LEFT(F96,LEN(E96)),"PASS","FAIL"),"FAIL"))</f>
        <v>PASS</v>
      </c>
    </row>
    <row r="97" spans="1:7" x14ac:dyDescent="0.3">
      <c r="A97" s="52"/>
      <c r="B97" s="54"/>
      <c r="C97" s="30" t="s">
        <v>189</v>
      </c>
      <c r="D97" s="53"/>
      <c r="E97" s="52"/>
      <c r="F97" s="66"/>
      <c r="G97" s="56"/>
    </row>
    <row r="98" spans="1:7" x14ac:dyDescent="0.3">
      <c r="A98" s="52">
        <v>49</v>
      </c>
      <c r="B98" s="54" t="s">
        <v>187</v>
      </c>
      <c r="C98" s="8" t="b">
        <v>1</v>
      </c>
      <c r="D98" s="53"/>
      <c r="E98" s="52" t="s">
        <v>174</v>
      </c>
      <c r="F98" s="66" t="str" cm="1">
        <f t="array" ref="F98">_xll.DUCKDB.EXEC($D$2,C98:C99)</f>
        <v>Invalid Input Error: Error scanning xlrange: Column #1, row 2: Failed to convert value to BOOLEAN.</v>
      </c>
      <c r="G98" s="55" t="str">
        <f t="shared" ref="G98" si="2">IF(ISNA(E98),IF(ISNA(F98),"PASS","FAIL"),IFERROR(IF(E98=LEFT(F98,LEN(E98)),"PASS","FAIL"),"FAIL"))</f>
        <v>PASS</v>
      </c>
    </row>
    <row r="99" spans="1:7" x14ac:dyDescent="0.3">
      <c r="A99" s="52"/>
      <c r="B99" s="54"/>
      <c r="C99" s="30" t="s">
        <v>192</v>
      </c>
      <c r="D99" s="53"/>
      <c r="E99" s="52"/>
      <c r="F99" s="66"/>
      <c r="G99" s="56"/>
    </row>
    <row r="100" spans="1:7" x14ac:dyDescent="0.3">
      <c r="A100" s="52">
        <v>50</v>
      </c>
      <c r="B100" s="54" t="s">
        <v>187</v>
      </c>
      <c r="C100" s="8" t="b">
        <v>1</v>
      </c>
      <c r="D100" s="53"/>
      <c r="E100" s="52" t="s">
        <v>174</v>
      </c>
      <c r="F100" s="66" t="str" cm="1">
        <f t="array" ref="F100">_xll.DUCKDB.EXEC($D$2,C100:C101)</f>
        <v>Invalid Input Error: Error scanning xlrange: Column #1, row 2: Failed to convert value to BOOLEAN.</v>
      </c>
      <c r="G100" s="55" t="str">
        <f t="shared" ref="G100" si="3">IF(ISNA(E100),IF(ISNA(F100),"PASS","FAIL"),IFERROR(IF(E100=LEFT(F100,LEN(E100)),"PASS","FAIL"),"FAIL"))</f>
        <v>PASS</v>
      </c>
    </row>
    <row r="101" spans="1:7" x14ac:dyDescent="0.3">
      <c r="A101" s="52"/>
      <c r="B101" s="54"/>
      <c r="C101" s="30" t="s">
        <v>193</v>
      </c>
      <c r="D101" s="53"/>
      <c r="E101" s="52"/>
      <c r="F101" s="66"/>
      <c r="G101" s="56"/>
    </row>
    <row r="102" spans="1:7" x14ac:dyDescent="0.3">
      <c r="A102" s="52">
        <v>51</v>
      </c>
      <c r="B102" s="54" t="s">
        <v>187</v>
      </c>
      <c r="C102" s="8" t="b">
        <v>1</v>
      </c>
      <c r="D102" s="53"/>
      <c r="E102" s="52" t="s">
        <v>174</v>
      </c>
      <c r="F102" s="66" t="str" cm="1">
        <f t="array" ref="F102">_xll.DUCKDB.EXEC($D$2,C102:C103)</f>
        <v>Invalid Input Error: Error scanning xlrange: Column #1, row 2: Failed to convert value to BOOLEAN.</v>
      </c>
      <c r="G102" s="55" t="str">
        <f t="shared" ref="G102" si="4">IF(ISNA(E102),IF(ISNA(F102),"PASS","FAIL"),IFERROR(IF(E102=LEFT(F102,LEN(E102)),"PASS","FAIL"),"FAIL"))</f>
        <v>PASS</v>
      </c>
    </row>
    <row r="103" spans="1:7" x14ac:dyDescent="0.3">
      <c r="A103" s="52"/>
      <c r="B103" s="54"/>
      <c r="C103" s="30" t="s">
        <v>194</v>
      </c>
      <c r="D103" s="53"/>
      <c r="E103" s="52"/>
      <c r="F103" s="66"/>
      <c r="G103" s="56"/>
    </row>
    <row r="104" spans="1:7" x14ac:dyDescent="0.3">
      <c r="A104" s="52">
        <v>52</v>
      </c>
      <c r="B104" s="54" t="s">
        <v>187</v>
      </c>
      <c r="C104" s="8" t="b">
        <v>1</v>
      </c>
      <c r="D104" s="53"/>
      <c r="E104" s="52" t="s">
        <v>174</v>
      </c>
      <c r="F104" s="66" t="str" cm="1">
        <f t="array" ref="F104">_xll.DUCKDB.EXEC($D$2,C104:C105)</f>
        <v>Invalid Input Error: Error scanning xlrange: Column #1, row 2: Failed to convert value to BOOLEAN.</v>
      </c>
      <c r="G104" s="55" t="str">
        <f t="shared" ref="G104" si="5">IF(ISNA(E104),IF(ISNA(F104),"PASS","FAIL"),IFERROR(IF(E104=LEFT(F104,LEN(E104)),"PASS","FAIL"),"FAIL"))</f>
        <v>PASS</v>
      </c>
    </row>
    <row r="105" spans="1:7" x14ac:dyDescent="0.3">
      <c r="A105" s="52"/>
      <c r="B105" s="54"/>
      <c r="C105" s="31" t="s">
        <v>45</v>
      </c>
      <c r="D105" s="53"/>
      <c r="E105" s="52"/>
      <c r="F105" s="66"/>
      <c r="G105" s="56"/>
    </row>
    <row r="106" spans="1:7" x14ac:dyDescent="0.3">
      <c r="A106" s="52">
        <v>53</v>
      </c>
      <c r="B106" s="54" t="s">
        <v>195</v>
      </c>
      <c r="C106" s="8" t="s">
        <v>45</v>
      </c>
      <c r="D106" s="53"/>
      <c r="E106" s="52" t="s">
        <v>196</v>
      </c>
      <c r="F106" s="70" t="str" cm="1">
        <f t="array" ref="F106">INDEX(_xll.DUCKDB.EXEC($D$2,C106:C107),3)</f>
        <v>def</v>
      </c>
      <c r="G106" s="55" t="str">
        <f>IF(E106=F106,"PASS","FAIL")</f>
        <v>PASS</v>
      </c>
    </row>
    <row r="107" spans="1:7" x14ac:dyDescent="0.3">
      <c r="A107" s="52"/>
      <c r="B107" s="54"/>
      <c r="C107" s="31" t="s">
        <v>196</v>
      </c>
      <c r="D107" s="53"/>
      <c r="E107" s="52"/>
      <c r="F107" s="70"/>
      <c r="G107" s="56"/>
    </row>
    <row r="108" spans="1:7" x14ac:dyDescent="0.3">
      <c r="A108" s="52">
        <v>54</v>
      </c>
      <c r="B108" s="54" t="s">
        <v>195</v>
      </c>
      <c r="C108" s="8" t="s">
        <v>45</v>
      </c>
      <c r="D108" s="53"/>
      <c r="E108" s="71" t="s">
        <v>62</v>
      </c>
      <c r="F108" s="70" t="str" cm="1">
        <f t="array" ref="F108">INDEX(_xll.DUCKDB.EXEC($D$2,C108:C109),3)</f>
        <v>1</v>
      </c>
      <c r="G108" s="55" t="str">
        <f>IF(E108=F108,"PASS","FAIL")</f>
        <v>PASS</v>
      </c>
    </row>
    <row r="109" spans="1:7" x14ac:dyDescent="0.3">
      <c r="A109" s="52"/>
      <c r="B109" s="54"/>
      <c r="C109" s="31">
        <v>1</v>
      </c>
      <c r="D109" s="53"/>
      <c r="E109" s="71"/>
      <c r="F109" s="70"/>
      <c r="G109" s="56"/>
    </row>
    <row r="110" spans="1:7" x14ac:dyDescent="0.3">
      <c r="A110" s="52">
        <v>55</v>
      </c>
      <c r="B110" s="54" t="s">
        <v>195</v>
      </c>
      <c r="C110" s="8" t="s">
        <v>45</v>
      </c>
      <c r="D110" s="53"/>
      <c r="E110" s="71" t="s">
        <v>67</v>
      </c>
      <c r="F110" s="70" t="str" cm="1">
        <f t="array" ref="F110">INDEX(_xll.DUCKDB.EXEC($D$2,C110:C111),3)</f>
        <v>1.2</v>
      </c>
      <c r="G110" s="55" t="str">
        <f>IF(E110=F110,"PASS","FAIL")</f>
        <v>PASS</v>
      </c>
    </row>
    <row r="111" spans="1:7" x14ac:dyDescent="0.3">
      <c r="A111" s="52"/>
      <c r="B111" s="54"/>
      <c r="C111" s="31">
        <v>1.2</v>
      </c>
      <c r="D111" s="53"/>
      <c r="E111" s="71"/>
      <c r="F111" s="70"/>
      <c r="G111" s="56"/>
    </row>
    <row r="112" spans="1:7" x14ac:dyDescent="0.3">
      <c r="A112" s="52">
        <v>56</v>
      </c>
      <c r="B112" s="54" t="s">
        <v>195</v>
      </c>
      <c r="C112" s="8" t="s">
        <v>45</v>
      </c>
      <c r="D112" s="53"/>
      <c r="E112" s="71" t="s">
        <v>70</v>
      </c>
      <c r="F112" s="70" t="str" cm="1">
        <f t="array" ref="F112">INDEX(_xll.DUCKDB.EXEC($D$2,C112:C113),3)</f>
        <v>TRUE</v>
      </c>
      <c r="G112" s="55" t="str">
        <f>IF(E112=F112,"PASS","FAIL")</f>
        <v>PASS</v>
      </c>
    </row>
    <row r="113" spans="1:7" x14ac:dyDescent="0.3">
      <c r="A113" s="52"/>
      <c r="B113" s="54"/>
      <c r="C113" s="31" t="b">
        <v>1</v>
      </c>
      <c r="D113" s="53"/>
      <c r="E113" s="71"/>
      <c r="F113" s="70"/>
      <c r="G113" s="56"/>
    </row>
  </sheetData>
  <mergeCells count="281">
    <mergeCell ref="A112:A113"/>
    <mergeCell ref="A102:A103"/>
    <mergeCell ref="A104:A105"/>
    <mergeCell ref="A106:A107"/>
    <mergeCell ref="A108:A109"/>
    <mergeCell ref="A110:A111"/>
    <mergeCell ref="A92:A93"/>
    <mergeCell ref="A94:A95"/>
    <mergeCell ref="A96:A97"/>
    <mergeCell ref="A98:A99"/>
    <mergeCell ref="A100:A101"/>
    <mergeCell ref="A80:A81"/>
    <mergeCell ref="A82:A83"/>
    <mergeCell ref="A84:A85"/>
    <mergeCell ref="A86:A87"/>
    <mergeCell ref="A90:A91"/>
    <mergeCell ref="A70:A71"/>
    <mergeCell ref="A72:A73"/>
    <mergeCell ref="A74:A75"/>
    <mergeCell ref="A76:A77"/>
    <mergeCell ref="A78:A79"/>
    <mergeCell ref="A52:A53"/>
    <mergeCell ref="A62:A63"/>
    <mergeCell ref="A64:A65"/>
    <mergeCell ref="A66:A67"/>
    <mergeCell ref="A68:A69"/>
    <mergeCell ref="A42:A43"/>
    <mergeCell ref="A44:A45"/>
    <mergeCell ref="A46:A47"/>
    <mergeCell ref="A48:A49"/>
    <mergeCell ref="A50:A51"/>
    <mergeCell ref="A60:A61"/>
    <mergeCell ref="A58:A59"/>
    <mergeCell ref="A56:A57"/>
    <mergeCell ref="A54:A55"/>
    <mergeCell ref="A32:A33"/>
    <mergeCell ref="A34:A35"/>
    <mergeCell ref="A36:A37"/>
    <mergeCell ref="A38:A39"/>
    <mergeCell ref="A40:A41"/>
    <mergeCell ref="A22:A23"/>
    <mergeCell ref="A24:A25"/>
    <mergeCell ref="A26:A27"/>
    <mergeCell ref="A28:A29"/>
    <mergeCell ref="A30:A31"/>
    <mergeCell ref="A12:A13"/>
    <mergeCell ref="A14:A15"/>
    <mergeCell ref="A16:A17"/>
    <mergeCell ref="A18:A19"/>
    <mergeCell ref="A20:A21"/>
    <mergeCell ref="A2:A3"/>
    <mergeCell ref="A4:A5"/>
    <mergeCell ref="A6:A7"/>
    <mergeCell ref="A8:A9"/>
    <mergeCell ref="A10:A11"/>
    <mergeCell ref="B112:B113"/>
    <mergeCell ref="E112:E113"/>
    <mergeCell ref="F112:F113"/>
    <mergeCell ref="G112:G113"/>
    <mergeCell ref="D2:D113"/>
    <mergeCell ref="B110:B111"/>
    <mergeCell ref="E110:E111"/>
    <mergeCell ref="F110:F111"/>
    <mergeCell ref="G110:G111"/>
    <mergeCell ref="B108:B109"/>
    <mergeCell ref="E108:E109"/>
    <mergeCell ref="F108:F109"/>
    <mergeCell ref="G108:G109"/>
    <mergeCell ref="B106:B107"/>
    <mergeCell ref="E106:E107"/>
    <mergeCell ref="F106:F107"/>
    <mergeCell ref="G106:G107"/>
    <mergeCell ref="B104:B105"/>
    <mergeCell ref="E104:E105"/>
    <mergeCell ref="F104:F105"/>
    <mergeCell ref="G104:G105"/>
    <mergeCell ref="B102:B103"/>
    <mergeCell ref="E102:E103"/>
    <mergeCell ref="F102:F103"/>
    <mergeCell ref="G102:G103"/>
    <mergeCell ref="B100:B101"/>
    <mergeCell ref="E100:E101"/>
    <mergeCell ref="F100:F101"/>
    <mergeCell ref="G100:G101"/>
    <mergeCell ref="B90:B91"/>
    <mergeCell ref="E90:E91"/>
    <mergeCell ref="F90:F91"/>
    <mergeCell ref="G90:G91"/>
    <mergeCell ref="B92:B93"/>
    <mergeCell ref="E92:E93"/>
    <mergeCell ref="F92:F93"/>
    <mergeCell ref="G92:G93"/>
    <mergeCell ref="B88:B89"/>
    <mergeCell ref="E88:E89"/>
    <mergeCell ref="F88:F89"/>
    <mergeCell ref="G88:G89"/>
    <mergeCell ref="A88:A89"/>
    <mergeCell ref="B98:B99"/>
    <mergeCell ref="E98:E99"/>
    <mergeCell ref="F98:F99"/>
    <mergeCell ref="G98:G99"/>
    <mergeCell ref="B96:B97"/>
    <mergeCell ref="E96:E97"/>
    <mergeCell ref="F96:F97"/>
    <mergeCell ref="G96:G97"/>
    <mergeCell ref="B94:B95"/>
    <mergeCell ref="E94:E95"/>
    <mergeCell ref="F94:F95"/>
    <mergeCell ref="G94:G95"/>
    <mergeCell ref="B86:B87"/>
    <mergeCell ref="E86:E87"/>
    <mergeCell ref="F86:F87"/>
    <mergeCell ref="G86:G87"/>
    <mergeCell ref="B84:B85"/>
    <mergeCell ref="E84:E85"/>
    <mergeCell ref="F84:F85"/>
    <mergeCell ref="G84:G85"/>
    <mergeCell ref="B82:B83"/>
    <mergeCell ref="E82:E83"/>
    <mergeCell ref="F82:F83"/>
    <mergeCell ref="G82:G83"/>
    <mergeCell ref="B80:B81"/>
    <mergeCell ref="E80:E81"/>
    <mergeCell ref="F80:F81"/>
    <mergeCell ref="G80:G81"/>
    <mergeCell ref="B78:B79"/>
    <mergeCell ref="E78:E79"/>
    <mergeCell ref="F78:F79"/>
    <mergeCell ref="G78:G79"/>
    <mergeCell ref="B76:B77"/>
    <mergeCell ref="E76:E77"/>
    <mergeCell ref="F76:F77"/>
    <mergeCell ref="G76:G77"/>
    <mergeCell ref="B74:B75"/>
    <mergeCell ref="E74:E75"/>
    <mergeCell ref="F74:F75"/>
    <mergeCell ref="G74:G75"/>
    <mergeCell ref="B72:B73"/>
    <mergeCell ref="E72:E73"/>
    <mergeCell ref="F72:F73"/>
    <mergeCell ref="G72:G73"/>
    <mergeCell ref="B70:B71"/>
    <mergeCell ref="E70:E71"/>
    <mergeCell ref="F70:F71"/>
    <mergeCell ref="G70:G71"/>
    <mergeCell ref="B40:B41"/>
    <mergeCell ref="E40:E41"/>
    <mergeCell ref="F40:F41"/>
    <mergeCell ref="G40:G41"/>
    <mergeCell ref="B68:B69"/>
    <mergeCell ref="E68:E69"/>
    <mergeCell ref="F68:F69"/>
    <mergeCell ref="G68:G69"/>
    <mergeCell ref="B66:B67"/>
    <mergeCell ref="E66:E67"/>
    <mergeCell ref="F66:F67"/>
    <mergeCell ref="G66:G67"/>
    <mergeCell ref="B64:B65"/>
    <mergeCell ref="E64:E65"/>
    <mergeCell ref="F64:F65"/>
    <mergeCell ref="G64:G65"/>
    <mergeCell ref="B62:B63"/>
    <mergeCell ref="E62:E63"/>
    <mergeCell ref="F62:F63"/>
    <mergeCell ref="G62:G63"/>
    <mergeCell ref="B54:B55"/>
    <mergeCell ref="E54:E55"/>
    <mergeCell ref="F54:F55"/>
    <mergeCell ref="G54:G55"/>
    <mergeCell ref="B52:B53"/>
    <mergeCell ref="E52:E53"/>
    <mergeCell ref="F52:F53"/>
    <mergeCell ref="G52:G53"/>
    <mergeCell ref="B60:B61"/>
    <mergeCell ref="E60:E61"/>
    <mergeCell ref="F60:F61"/>
    <mergeCell ref="G60:G61"/>
    <mergeCell ref="B58:B59"/>
    <mergeCell ref="E58:E59"/>
    <mergeCell ref="F58:F59"/>
    <mergeCell ref="G58:G59"/>
    <mergeCell ref="B56:B57"/>
    <mergeCell ref="E56:E57"/>
    <mergeCell ref="F56:F57"/>
    <mergeCell ref="G56:G57"/>
    <mergeCell ref="B50:B51"/>
    <mergeCell ref="E50:E51"/>
    <mergeCell ref="F50:F51"/>
    <mergeCell ref="G50:G51"/>
    <mergeCell ref="B46:B47"/>
    <mergeCell ref="E46:E47"/>
    <mergeCell ref="F46:F47"/>
    <mergeCell ref="G46:G47"/>
    <mergeCell ref="B44:B45"/>
    <mergeCell ref="E44:E45"/>
    <mergeCell ref="F44:F45"/>
    <mergeCell ref="G44:G45"/>
    <mergeCell ref="B48:B49"/>
    <mergeCell ref="E48:E49"/>
    <mergeCell ref="F48:F49"/>
    <mergeCell ref="G48:G49"/>
    <mergeCell ref="B42:B43"/>
    <mergeCell ref="E42:E43"/>
    <mergeCell ref="F42:F43"/>
    <mergeCell ref="G42:G43"/>
    <mergeCell ref="B38:B39"/>
    <mergeCell ref="E38:E39"/>
    <mergeCell ref="F38:F39"/>
    <mergeCell ref="G38:G39"/>
    <mergeCell ref="F14:F15"/>
    <mergeCell ref="G14:G15"/>
    <mergeCell ref="B22:B23"/>
    <mergeCell ref="E22:E23"/>
    <mergeCell ref="F22:F23"/>
    <mergeCell ref="G22:G23"/>
    <mergeCell ref="G20:G21"/>
    <mergeCell ref="B16:B17"/>
    <mergeCell ref="E16:E17"/>
    <mergeCell ref="F16:F17"/>
    <mergeCell ref="G16:G17"/>
    <mergeCell ref="G32:G33"/>
    <mergeCell ref="B26:B27"/>
    <mergeCell ref="E26:E27"/>
    <mergeCell ref="F26:F27"/>
    <mergeCell ref="G26:G27"/>
    <mergeCell ref="G2:G3"/>
    <mergeCell ref="B4:B5"/>
    <mergeCell ref="E4:E5"/>
    <mergeCell ref="F4:F5"/>
    <mergeCell ref="B2:B3"/>
    <mergeCell ref="E2:E3"/>
    <mergeCell ref="F2:F3"/>
    <mergeCell ref="B32:B33"/>
    <mergeCell ref="E32:E33"/>
    <mergeCell ref="F32:F33"/>
    <mergeCell ref="B20:B21"/>
    <mergeCell ref="E20:E21"/>
    <mergeCell ref="F20:F21"/>
    <mergeCell ref="B14:B15"/>
    <mergeCell ref="E14:E15"/>
    <mergeCell ref="G4:G5"/>
    <mergeCell ref="B12:B13"/>
    <mergeCell ref="E12:E13"/>
    <mergeCell ref="F12:F13"/>
    <mergeCell ref="G12:G13"/>
    <mergeCell ref="B8:B9"/>
    <mergeCell ref="E8:E9"/>
    <mergeCell ref="F8:F9"/>
    <mergeCell ref="B6:B7"/>
    <mergeCell ref="E6:E7"/>
    <mergeCell ref="F6:F7"/>
    <mergeCell ref="G6:G7"/>
    <mergeCell ref="G8:G9"/>
    <mergeCell ref="B10:B11"/>
    <mergeCell ref="E10:E11"/>
    <mergeCell ref="F10:F11"/>
    <mergeCell ref="G10:G11"/>
    <mergeCell ref="B28:B29"/>
    <mergeCell ref="E28:E29"/>
    <mergeCell ref="F28:F29"/>
    <mergeCell ref="G28:G29"/>
    <mergeCell ref="B18:B19"/>
    <mergeCell ref="E18:E19"/>
    <mergeCell ref="F18:F19"/>
    <mergeCell ref="G18:G19"/>
    <mergeCell ref="B24:B25"/>
    <mergeCell ref="E24:E25"/>
    <mergeCell ref="F24:F25"/>
    <mergeCell ref="G24:G25"/>
    <mergeCell ref="B36:B37"/>
    <mergeCell ref="E36:E37"/>
    <mergeCell ref="F36:F37"/>
    <mergeCell ref="G36:G37"/>
    <mergeCell ref="B34:B35"/>
    <mergeCell ref="E34:E35"/>
    <mergeCell ref="F34:F35"/>
    <mergeCell ref="G34:G35"/>
    <mergeCell ref="B30:B31"/>
    <mergeCell ref="E30:E31"/>
    <mergeCell ref="F30:F31"/>
    <mergeCell ref="G30:G31"/>
  </mergeCells>
  <conditionalFormatting sqref="G14">
    <cfRule type="cellIs" dxfId="223" priority="137" stopIfTrue="1" operator="equal">
      <formula>"PASS"</formula>
    </cfRule>
    <cfRule type="cellIs" dxfId="222" priority="138" stopIfTrue="1" operator="equal">
      <formula>"FAIL"</formula>
    </cfRule>
  </conditionalFormatting>
  <conditionalFormatting sqref="G12">
    <cfRule type="cellIs" dxfId="221" priority="193" stopIfTrue="1" operator="equal">
      <formula>"PASS"</formula>
    </cfRule>
    <cfRule type="cellIs" dxfId="220" priority="194" stopIfTrue="1" operator="equal">
      <formula>"FAIL"</formula>
    </cfRule>
  </conditionalFormatting>
  <conditionalFormatting sqref="G22">
    <cfRule type="cellIs" dxfId="219" priority="133" stopIfTrue="1" operator="equal">
      <formula>"PASS"</formula>
    </cfRule>
    <cfRule type="cellIs" dxfId="218" priority="134" stopIfTrue="1" operator="equal">
      <formula>"FAIL"</formula>
    </cfRule>
  </conditionalFormatting>
  <conditionalFormatting sqref="G2">
    <cfRule type="cellIs" dxfId="217" priority="131" stopIfTrue="1" operator="equal">
      <formula>"PASS"</formula>
    </cfRule>
    <cfRule type="cellIs" dxfId="216" priority="132" stopIfTrue="1" operator="equal">
      <formula>"FAIL"</formula>
    </cfRule>
  </conditionalFormatting>
  <conditionalFormatting sqref="G4">
    <cfRule type="cellIs" dxfId="215" priority="129" stopIfTrue="1" operator="equal">
      <formula>"PASS"</formula>
    </cfRule>
    <cfRule type="cellIs" dxfId="214" priority="130" stopIfTrue="1" operator="equal">
      <formula>"FAIL"</formula>
    </cfRule>
  </conditionalFormatting>
  <conditionalFormatting sqref="G6">
    <cfRule type="cellIs" dxfId="213" priority="127" stopIfTrue="1" operator="equal">
      <formula>"PASS"</formula>
    </cfRule>
    <cfRule type="cellIs" dxfId="212" priority="128" stopIfTrue="1" operator="equal">
      <formula>"FAIL"</formula>
    </cfRule>
  </conditionalFormatting>
  <conditionalFormatting sqref="G8">
    <cfRule type="cellIs" dxfId="211" priority="125" stopIfTrue="1" operator="equal">
      <formula>"PASS"</formula>
    </cfRule>
    <cfRule type="cellIs" dxfId="210" priority="126" stopIfTrue="1" operator="equal">
      <formula>"FAIL"</formula>
    </cfRule>
  </conditionalFormatting>
  <conditionalFormatting sqref="G10">
    <cfRule type="cellIs" dxfId="209" priority="123" stopIfTrue="1" operator="equal">
      <formula>"PASS"</formula>
    </cfRule>
    <cfRule type="cellIs" dxfId="208" priority="124" stopIfTrue="1" operator="equal">
      <formula>"FAIL"</formula>
    </cfRule>
  </conditionalFormatting>
  <conditionalFormatting sqref="G16">
    <cfRule type="cellIs" dxfId="207" priority="121" stopIfTrue="1" operator="equal">
      <formula>"PASS"</formula>
    </cfRule>
    <cfRule type="cellIs" dxfId="206" priority="122" stopIfTrue="1" operator="equal">
      <formula>"FAIL"</formula>
    </cfRule>
  </conditionalFormatting>
  <conditionalFormatting sqref="G18">
    <cfRule type="cellIs" dxfId="205" priority="119" stopIfTrue="1" operator="equal">
      <formula>"PASS"</formula>
    </cfRule>
    <cfRule type="cellIs" dxfId="204" priority="120" stopIfTrue="1" operator="equal">
      <formula>"FAIL"</formula>
    </cfRule>
  </conditionalFormatting>
  <conditionalFormatting sqref="G20">
    <cfRule type="cellIs" dxfId="203" priority="117" stopIfTrue="1" operator="equal">
      <formula>"PASS"</formula>
    </cfRule>
    <cfRule type="cellIs" dxfId="202" priority="118" stopIfTrue="1" operator="equal">
      <formula>"FAIL"</formula>
    </cfRule>
  </conditionalFormatting>
  <conditionalFormatting sqref="G26">
    <cfRule type="cellIs" dxfId="201" priority="115" stopIfTrue="1" operator="equal">
      <formula>"PASS"</formula>
    </cfRule>
    <cfRule type="cellIs" dxfId="200" priority="116" stopIfTrue="1" operator="equal">
      <formula>"FAIL"</formula>
    </cfRule>
  </conditionalFormatting>
  <conditionalFormatting sqref="G28">
    <cfRule type="cellIs" dxfId="199" priority="113" stopIfTrue="1" operator="equal">
      <formula>"PASS"</formula>
    </cfRule>
    <cfRule type="cellIs" dxfId="198" priority="114" stopIfTrue="1" operator="equal">
      <formula>"FAIL"</formula>
    </cfRule>
  </conditionalFormatting>
  <conditionalFormatting sqref="G32">
    <cfRule type="cellIs" dxfId="197" priority="111" stopIfTrue="1" operator="equal">
      <formula>"PASS"</formula>
    </cfRule>
    <cfRule type="cellIs" dxfId="196" priority="112" stopIfTrue="1" operator="equal">
      <formula>"FAIL"</formula>
    </cfRule>
  </conditionalFormatting>
  <conditionalFormatting sqref="G34">
    <cfRule type="cellIs" dxfId="195" priority="109" stopIfTrue="1" operator="equal">
      <formula>"PASS"</formula>
    </cfRule>
    <cfRule type="cellIs" dxfId="194" priority="110" stopIfTrue="1" operator="equal">
      <formula>"FAIL"</formula>
    </cfRule>
  </conditionalFormatting>
  <conditionalFormatting sqref="G36">
    <cfRule type="cellIs" dxfId="193" priority="107" stopIfTrue="1" operator="equal">
      <formula>"PASS"</formula>
    </cfRule>
    <cfRule type="cellIs" dxfId="192" priority="108" stopIfTrue="1" operator="equal">
      <formula>"FAIL"</formula>
    </cfRule>
  </conditionalFormatting>
  <conditionalFormatting sqref="G24">
    <cfRule type="cellIs" dxfId="191" priority="105" stopIfTrue="1" operator="equal">
      <formula>"PASS"</formula>
    </cfRule>
    <cfRule type="cellIs" dxfId="190" priority="106" stopIfTrue="1" operator="equal">
      <formula>"FAIL"</formula>
    </cfRule>
  </conditionalFormatting>
  <conditionalFormatting sqref="G30">
    <cfRule type="cellIs" dxfId="189" priority="103" stopIfTrue="1" operator="equal">
      <formula>"PASS"</formula>
    </cfRule>
    <cfRule type="cellIs" dxfId="188" priority="104" stopIfTrue="1" operator="equal">
      <formula>"FAIL"</formula>
    </cfRule>
  </conditionalFormatting>
  <conditionalFormatting sqref="G44">
    <cfRule type="cellIs" dxfId="187" priority="91" stopIfTrue="1" operator="equal">
      <formula>"PASS"</formula>
    </cfRule>
    <cfRule type="cellIs" dxfId="186" priority="92" stopIfTrue="1" operator="equal">
      <formula>"FAIL"</formula>
    </cfRule>
  </conditionalFormatting>
  <conditionalFormatting sqref="G52">
    <cfRule type="cellIs" dxfId="185" priority="101" stopIfTrue="1" operator="equal">
      <formula>"PASS"</formula>
    </cfRule>
    <cfRule type="cellIs" dxfId="184" priority="102" stopIfTrue="1" operator="equal">
      <formula>"FAIL"</formula>
    </cfRule>
  </conditionalFormatting>
  <conditionalFormatting sqref="G54">
    <cfRule type="cellIs" dxfId="183" priority="97" stopIfTrue="1" operator="equal">
      <formula>"PASS"</formula>
    </cfRule>
    <cfRule type="cellIs" dxfId="182" priority="98" stopIfTrue="1" operator="equal">
      <formula>"FAIL"</formula>
    </cfRule>
  </conditionalFormatting>
  <conditionalFormatting sqref="G38">
    <cfRule type="cellIs" dxfId="181" priority="95" stopIfTrue="1" operator="equal">
      <formula>"PASS"</formula>
    </cfRule>
    <cfRule type="cellIs" dxfId="180" priority="96" stopIfTrue="1" operator="equal">
      <formula>"FAIL"</formula>
    </cfRule>
  </conditionalFormatting>
  <conditionalFormatting sqref="G42">
    <cfRule type="cellIs" dxfId="179" priority="93" stopIfTrue="1" operator="equal">
      <formula>"PASS"</formula>
    </cfRule>
    <cfRule type="cellIs" dxfId="178" priority="94" stopIfTrue="1" operator="equal">
      <formula>"FAIL"</formula>
    </cfRule>
  </conditionalFormatting>
  <conditionalFormatting sqref="G46">
    <cfRule type="cellIs" dxfId="177" priority="89" stopIfTrue="1" operator="equal">
      <formula>"PASS"</formula>
    </cfRule>
    <cfRule type="cellIs" dxfId="176" priority="90" stopIfTrue="1" operator="equal">
      <formula>"FAIL"</formula>
    </cfRule>
  </conditionalFormatting>
  <conditionalFormatting sqref="G60">
    <cfRule type="cellIs" dxfId="175" priority="77" stopIfTrue="1" operator="equal">
      <formula>"PASS"</formula>
    </cfRule>
    <cfRule type="cellIs" dxfId="174" priority="78" stopIfTrue="1" operator="equal">
      <formula>"FAIL"</formula>
    </cfRule>
  </conditionalFormatting>
  <conditionalFormatting sqref="G50">
    <cfRule type="cellIs" dxfId="173" priority="87" stopIfTrue="1" operator="equal">
      <formula>"PASS"</formula>
    </cfRule>
    <cfRule type="cellIs" dxfId="172" priority="88" stopIfTrue="1" operator="equal">
      <formula>"FAIL"</formula>
    </cfRule>
  </conditionalFormatting>
  <conditionalFormatting sqref="G64">
    <cfRule type="cellIs" dxfId="171" priority="75" stopIfTrue="1" operator="equal">
      <formula>"PASS"</formula>
    </cfRule>
    <cfRule type="cellIs" dxfId="170" priority="76" stopIfTrue="1" operator="equal">
      <formula>"FAIL"</formula>
    </cfRule>
  </conditionalFormatting>
  <conditionalFormatting sqref="G66">
    <cfRule type="cellIs" dxfId="169" priority="73" stopIfTrue="1" operator="equal">
      <formula>"PASS"</formula>
    </cfRule>
    <cfRule type="cellIs" dxfId="168" priority="74" stopIfTrue="1" operator="equal">
      <formula>"FAIL"</formula>
    </cfRule>
  </conditionalFormatting>
  <conditionalFormatting sqref="G58">
    <cfRule type="cellIs" dxfId="167" priority="79" stopIfTrue="1" operator="equal">
      <formula>"PASS"</formula>
    </cfRule>
    <cfRule type="cellIs" dxfId="166" priority="80" stopIfTrue="1" operator="equal">
      <formula>"FAIL"</formula>
    </cfRule>
  </conditionalFormatting>
  <conditionalFormatting sqref="G68">
    <cfRule type="cellIs" dxfId="165" priority="71" stopIfTrue="1" operator="equal">
      <formula>"PASS"</formula>
    </cfRule>
    <cfRule type="cellIs" dxfId="164" priority="72" stopIfTrue="1" operator="equal">
      <formula>"FAIL"</formula>
    </cfRule>
  </conditionalFormatting>
  <conditionalFormatting sqref="G56">
    <cfRule type="cellIs" dxfId="163" priority="69" stopIfTrue="1" operator="equal">
      <formula>"PASS"</formula>
    </cfRule>
    <cfRule type="cellIs" dxfId="162" priority="70" stopIfTrue="1" operator="equal">
      <formula>"FAIL"</formula>
    </cfRule>
  </conditionalFormatting>
  <conditionalFormatting sqref="G62">
    <cfRule type="cellIs" dxfId="161" priority="67" stopIfTrue="1" operator="equal">
      <formula>"PASS"</formula>
    </cfRule>
    <cfRule type="cellIs" dxfId="160" priority="68" stopIfTrue="1" operator="equal">
      <formula>"FAIL"</formula>
    </cfRule>
  </conditionalFormatting>
  <conditionalFormatting sqref="G48">
    <cfRule type="cellIs" dxfId="159" priority="63" stopIfTrue="1" operator="equal">
      <formula>"PASS"</formula>
    </cfRule>
    <cfRule type="cellIs" dxfId="158" priority="64" stopIfTrue="1" operator="equal">
      <formula>"FAIL"</formula>
    </cfRule>
  </conditionalFormatting>
  <conditionalFormatting sqref="G40">
    <cfRule type="cellIs" dxfId="157" priority="65" stopIfTrue="1" operator="equal">
      <formula>"PASS"</formula>
    </cfRule>
    <cfRule type="cellIs" dxfId="156" priority="66" stopIfTrue="1" operator="equal">
      <formula>"FAIL"</formula>
    </cfRule>
  </conditionalFormatting>
  <conditionalFormatting sqref="G72">
    <cfRule type="cellIs" dxfId="155" priority="55" stopIfTrue="1" operator="equal">
      <formula>"PASS"</formula>
    </cfRule>
    <cfRule type="cellIs" dxfId="154" priority="56" stopIfTrue="1" operator="equal">
      <formula>"FAIL"</formula>
    </cfRule>
  </conditionalFormatting>
  <conditionalFormatting sqref="G78">
    <cfRule type="cellIs" dxfId="153" priority="49" stopIfTrue="1" operator="equal">
      <formula>"PASS"</formula>
    </cfRule>
    <cfRule type="cellIs" dxfId="152" priority="50" stopIfTrue="1" operator="equal">
      <formula>"FAIL"</formula>
    </cfRule>
  </conditionalFormatting>
  <conditionalFormatting sqref="G76">
    <cfRule type="cellIs" dxfId="151" priority="51" stopIfTrue="1" operator="equal">
      <formula>"PASS"</formula>
    </cfRule>
    <cfRule type="cellIs" dxfId="150" priority="52" stopIfTrue="1" operator="equal">
      <formula>"FAIL"</formula>
    </cfRule>
  </conditionalFormatting>
  <conditionalFormatting sqref="G80">
    <cfRule type="cellIs" dxfId="149" priority="47" stopIfTrue="1" operator="equal">
      <formula>"PASS"</formula>
    </cfRule>
    <cfRule type="cellIs" dxfId="148" priority="48" stopIfTrue="1" operator="equal">
      <formula>"FAIL"</formula>
    </cfRule>
  </conditionalFormatting>
  <conditionalFormatting sqref="G82">
    <cfRule type="cellIs" dxfId="147" priority="45" stopIfTrue="1" operator="equal">
      <formula>"PASS"</formula>
    </cfRule>
    <cfRule type="cellIs" dxfId="146" priority="46" stopIfTrue="1" operator="equal">
      <formula>"FAIL"</formula>
    </cfRule>
  </conditionalFormatting>
  <conditionalFormatting sqref="G84">
    <cfRule type="cellIs" dxfId="145" priority="43" stopIfTrue="1" operator="equal">
      <formula>"PASS"</formula>
    </cfRule>
    <cfRule type="cellIs" dxfId="144" priority="44" stopIfTrue="1" operator="equal">
      <formula>"FAIL"</formula>
    </cfRule>
  </conditionalFormatting>
  <conditionalFormatting sqref="G86">
    <cfRule type="cellIs" dxfId="143" priority="39" stopIfTrue="1" operator="equal">
      <formula>"PASS"</formula>
    </cfRule>
    <cfRule type="cellIs" dxfId="142" priority="40" stopIfTrue="1" operator="equal">
      <formula>"FAIL"</formula>
    </cfRule>
  </conditionalFormatting>
  <conditionalFormatting sqref="G94 G96 G98">
    <cfRule type="cellIs" dxfId="141" priority="29" stopIfTrue="1" operator="equal">
      <formula>"PASS"</formula>
    </cfRule>
    <cfRule type="cellIs" dxfId="140" priority="30" stopIfTrue="1" operator="equal">
      <formula>"FAIL"</formula>
    </cfRule>
  </conditionalFormatting>
  <conditionalFormatting sqref="G100">
    <cfRule type="cellIs" dxfId="139" priority="19" stopIfTrue="1" operator="equal">
      <formula>"PASS"</formula>
    </cfRule>
    <cfRule type="cellIs" dxfId="138" priority="20" stopIfTrue="1" operator="equal">
      <formula>"FAIL"</formula>
    </cfRule>
  </conditionalFormatting>
  <conditionalFormatting sqref="G88">
    <cfRule type="cellIs" dxfId="137" priority="25" stopIfTrue="1" operator="equal">
      <formula>"PASS"</formula>
    </cfRule>
    <cfRule type="cellIs" dxfId="136" priority="26" stopIfTrue="1" operator="equal">
      <formula>"FAIL"</formula>
    </cfRule>
  </conditionalFormatting>
  <conditionalFormatting sqref="G92">
    <cfRule type="cellIs" dxfId="135" priority="23" stopIfTrue="1" operator="equal">
      <formula>"PASS"</formula>
    </cfRule>
    <cfRule type="cellIs" dxfId="134" priority="24" stopIfTrue="1" operator="equal">
      <formula>"FAIL"</formula>
    </cfRule>
  </conditionalFormatting>
  <conditionalFormatting sqref="G104">
    <cfRule type="cellIs" dxfId="133" priority="15" stopIfTrue="1" operator="equal">
      <formula>"PASS"</formula>
    </cfRule>
    <cfRule type="cellIs" dxfId="132" priority="16" stopIfTrue="1" operator="equal">
      <formula>"FAIL"</formula>
    </cfRule>
  </conditionalFormatting>
  <conditionalFormatting sqref="G102">
    <cfRule type="cellIs" dxfId="131" priority="17" stopIfTrue="1" operator="equal">
      <formula>"PASS"</formula>
    </cfRule>
    <cfRule type="cellIs" dxfId="130" priority="18" stopIfTrue="1" operator="equal">
      <formula>"FAIL"</formula>
    </cfRule>
  </conditionalFormatting>
  <conditionalFormatting sqref="G112">
    <cfRule type="cellIs" dxfId="129" priority="5" stopIfTrue="1" operator="equal">
      <formula>"PASS"</formula>
    </cfRule>
    <cfRule type="cellIs" dxfId="128" priority="6" stopIfTrue="1" operator="equal">
      <formula>"FAIL"</formula>
    </cfRule>
  </conditionalFormatting>
  <conditionalFormatting sqref="G90">
    <cfRule type="cellIs" dxfId="127" priority="21" stopIfTrue="1" operator="equal">
      <formula>"PASS"</formula>
    </cfRule>
    <cfRule type="cellIs" dxfId="126" priority="22" stopIfTrue="1" operator="equal">
      <formula>"FAIL"</formula>
    </cfRule>
  </conditionalFormatting>
  <conditionalFormatting sqref="G106">
    <cfRule type="cellIs" dxfId="125" priority="11" stopIfTrue="1" operator="equal">
      <formula>"PASS"</formula>
    </cfRule>
    <cfRule type="cellIs" dxfId="124" priority="12" stopIfTrue="1" operator="equal">
      <formula>"FAIL"</formula>
    </cfRule>
  </conditionalFormatting>
  <conditionalFormatting sqref="G74">
    <cfRule type="cellIs" dxfId="123" priority="3" stopIfTrue="1" operator="equal">
      <formula>"PASS"</formula>
    </cfRule>
    <cfRule type="cellIs" dxfId="122" priority="4" stopIfTrue="1" operator="equal">
      <formula>"FAIL"</formula>
    </cfRule>
  </conditionalFormatting>
  <conditionalFormatting sqref="G108">
    <cfRule type="cellIs" dxfId="121" priority="9" stopIfTrue="1" operator="equal">
      <formula>"PASS"</formula>
    </cfRule>
    <cfRule type="cellIs" dxfId="120" priority="10" stopIfTrue="1" operator="equal">
      <formula>"FAIL"</formula>
    </cfRule>
  </conditionalFormatting>
  <conditionalFormatting sqref="G70">
    <cfRule type="cellIs" dxfId="119" priority="1" stopIfTrue="1" operator="equal">
      <formula>"PASS"</formula>
    </cfRule>
    <cfRule type="cellIs" dxfId="118" priority="2" stopIfTrue="1" operator="equal">
      <formula>"FAIL"</formula>
    </cfRule>
  </conditionalFormatting>
  <conditionalFormatting sqref="G110">
    <cfRule type="cellIs" dxfId="117" priority="7" stopIfTrue="1" operator="equal">
      <formula>"PASS"</formula>
    </cfRule>
    <cfRule type="cellIs" dxfId="116" priority="8" stopIfTrue="1" operator="equal">
      <formula>"FAIL"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3194-2367-4BAA-BC32-C926CD8293A5}">
  <dimension ref="A1:O71"/>
  <sheetViews>
    <sheetView topLeftCell="A55" workbookViewId="0">
      <selection activeCell="H66" sqref="H66"/>
    </sheetView>
  </sheetViews>
  <sheetFormatPr defaultRowHeight="14.4" x14ac:dyDescent="0.3"/>
  <cols>
    <col min="1" max="1" width="11.5546875" customWidth="1"/>
    <col min="2" max="2" width="17.77734375" customWidth="1"/>
    <col min="3" max="3" width="17.44140625" customWidth="1"/>
    <col min="4" max="4" width="18.44140625" customWidth="1"/>
    <col min="5" max="5" width="14.6640625" customWidth="1"/>
    <col min="6" max="6" width="16.21875" customWidth="1"/>
    <col min="7" max="7" width="14.109375" customWidth="1"/>
    <col min="8" max="8" width="11.88671875" customWidth="1"/>
    <col min="9" max="9" width="11.21875" bestFit="1" customWidth="1"/>
  </cols>
  <sheetData>
    <row r="1" spans="1:15" x14ac:dyDescent="0.3">
      <c r="A1" s="37" t="s">
        <v>56</v>
      </c>
      <c r="B1" s="7" t="s">
        <v>198</v>
      </c>
      <c r="C1" s="7" t="s">
        <v>199</v>
      </c>
      <c r="D1" s="7" t="s">
        <v>200</v>
      </c>
      <c r="E1" s="7" t="s">
        <v>201</v>
      </c>
      <c r="F1" s="7" t="s">
        <v>202</v>
      </c>
      <c r="G1" s="7" t="s">
        <v>203</v>
      </c>
      <c r="H1" s="35"/>
      <c r="I1" s="37" t="s">
        <v>57</v>
      </c>
      <c r="J1" s="7" t="s">
        <v>218</v>
      </c>
      <c r="K1" s="7" t="s">
        <v>218</v>
      </c>
      <c r="L1" s="7"/>
      <c r="M1" s="7"/>
      <c r="N1" s="7" t="s">
        <v>219</v>
      </c>
      <c r="O1" s="7" t="s">
        <v>217</v>
      </c>
    </row>
    <row r="2" spans="1:15" x14ac:dyDescent="0.3">
      <c r="B2" s="8">
        <v>1</v>
      </c>
      <c r="C2" s="8">
        <v>1.2</v>
      </c>
      <c r="D2" s="8" t="b">
        <v>0</v>
      </c>
      <c r="E2" s="8" t="s">
        <v>45</v>
      </c>
      <c r="F2" s="8"/>
      <c r="G2" s="8" t="e">
        <f>1/0</f>
        <v>#DIV/0!</v>
      </c>
      <c r="H2" s="36"/>
      <c r="J2" s="8">
        <v>1</v>
      </c>
      <c r="K2" s="8">
        <v>1.2</v>
      </c>
      <c r="L2" s="8" t="b">
        <v>0</v>
      </c>
      <c r="M2" s="8" t="s">
        <v>45</v>
      </c>
      <c r="N2" s="8"/>
      <c r="O2" s="8" t="e">
        <f>1/0</f>
        <v>#DIV/0!</v>
      </c>
    </row>
    <row r="3" spans="1:15" x14ac:dyDescent="0.3">
      <c r="B3" s="8">
        <v>1.2</v>
      </c>
      <c r="C3" s="8" t="s">
        <v>45</v>
      </c>
      <c r="D3" s="8" t="s">
        <v>45</v>
      </c>
      <c r="E3" s="8" t="s">
        <v>45</v>
      </c>
      <c r="F3" s="8"/>
      <c r="G3" s="8"/>
      <c r="H3" s="36"/>
      <c r="J3" s="8">
        <v>1.2</v>
      </c>
      <c r="K3" s="8" t="s">
        <v>45</v>
      </c>
      <c r="L3" s="8" t="s">
        <v>45</v>
      </c>
      <c r="M3" s="8" t="s">
        <v>45</v>
      </c>
      <c r="N3" s="8"/>
      <c r="O3" s="8"/>
    </row>
    <row r="4" spans="1:15" x14ac:dyDescent="0.3">
      <c r="B4" s="8" t="s">
        <v>45</v>
      </c>
      <c r="C4" s="8"/>
      <c r="D4" s="8"/>
      <c r="E4" s="8" t="s">
        <v>45</v>
      </c>
      <c r="F4" s="8"/>
      <c r="G4" s="8"/>
      <c r="H4" s="36"/>
      <c r="J4" s="8" t="s">
        <v>45</v>
      </c>
      <c r="K4" s="8"/>
      <c r="L4" s="8"/>
      <c r="M4" s="8" t="s">
        <v>45</v>
      </c>
      <c r="N4" s="8"/>
      <c r="O4" s="8"/>
    </row>
    <row r="6" spans="1:15" x14ac:dyDescent="0.3">
      <c r="A6" s="37" t="s">
        <v>253</v>
      </c>
      <c r="B6" s="7" t="s">
        <v>198</v>
      </c>
      <c r="C6" s="7" t="s">
        <v>199</v>
      </c>
      <c r="D6" s="7" t="s">
        <v>200</v>
      </c>
      <c r="E6" s="7" t="s">
        <v>201</v>
      </c>
      <c r="F6" s="7" t="s">
        <v>202</v>
      </c>
      <c r="G6" s="7" t="s">
        <v>203</v>
      </c>
    </row>
    <row r="7" spans="1:15" x14ac:dyDescent="0.3">
      <c r="B7" s="8" t="s">
        <v>263</v>
      </c>
      <c r="C7" s="11" t="s">
        <v>266</v>
      </c>
      <c r="D7" s="8"/>
      <c r="E7" s="8"/>
      <c r="F7" s="8"/>
      <c r="G7" s="8"/>
    </row>
    <row r="8" spans="1:15" x14ac:dyDescent="0.3">
      <c r="B8" s="8">
        <v>1</v>
      </c>
      <c r="C8" s="8">
        <v>3.4</v>
      </c>
      <c r="D8" s="8"/>
      <c r="E8" s="8"/>
      <c r="F8" s="8"/>
      <c r="G8" s="8"/>
    </row>
    <row r="11" spans="1:15" x14ac:dyDescent="0.3">
      <c r="A11" s="48" t="s">
        <v>243</v>
      </c>
      <c r="B11" s="7" t="s">
        <v>123</v>
      </c>
      <c r="C11" s="7" t="s">
        <v>143</v>
      </c>
      <c r="D11" s="7" t="s">
        <v>175</v>
      </c>
      <c r="E11" s="7" t="s">
        <v>145</v>
      </c>
      <c r="F11" s="32" t="s">
        <v>246</v>
      </c>
      <c r="G11" s="32" t="s">
        <v>172</v>
      </c>
    </row>
    <row r="12" spans="1:15" ht="14.4" customHeight="1" x14ac:dyDescent="0.3">
      <c r="A12" s="55">
        <v>1</v>
      </c>
      <c r="B12" s="66" t="s">
        <v>254</v>
      </c>
      <c r="C12" s="53" t="s">
        <v>204</v>
      </c>
      <c r="D12" s="45" t="s">
        <v>205</v>
      </c>
      <c r="E12" s="46" t="str" cm="1">
        <f t="array" ref="E12:E18">_xll.DUCKDB.EXEC(C12,$B$1:$G$4)</f>
        <v>column_type</v>
      </c>
      <c r="F12" s="13" t="str">
        <f t="shared" ref="F12:F46" si="0">IF(E12=D12,"PASS","FAIL")</f>
        <v>PASS</v>
      </c>
      <c r="G12" s="55" t="str">
        <f>IF(COUNTA(F12:F18)=COUNTIF(F12:F18,"PASS"),"PASS","FAIL")</f>
        <v>PASS</v>
      </c>
    </row>
    <row r="13" spans="1:15" x14ac:dyDescent="0.3">
      <c r="A13" s="60"/>
      <c r="B13" s="54"/>
      <c r="C13" s="53"/>
      <c r="D13" s="33" t="s">
        <v>4</v>
      </c>
      <c r="E13" s="34" t="str">
        <v>INTEGER</v>
      </c>
      <c r="F13" s="13" t="str">
        <f t="shared" si="0"/>
        <v>PASS</v>
      </c>
      <c r="G13" s="60"/>
    </row>
    <row r="14" spans="1:15" x14ac:dyDescent="0.3">
      <c r="A14" s="60"/>
      <c r="B14" s="54"/>
      <c r="C14" s="53"/>
      <c r="D14" s="33" t="s">
        <v>12</v>
      </c>
      <c r="E14" s="34" t="str">
        <v>DOUBLE</v>
      </c>
      <c r="F14" s="13" t="str">
        <f t="shared" si="0"/>
        <v>PASS</v>
      </c>
      <c r="G14" s="60"/>
    </row>
    <row r="15" spans="1:15" x14ac:dyDescent="0.3">
      <c r="A15" s="60"/>
      <c r="B15" s="54"/>
      <c r="C15" s="53"/>
      <c r="D15" s="33" t="s">
        <v>7</v>
      </c>
      <c r="E15" s="34" t="str">
        <v>BOOLEAN</v>
      </c>
      <c r="F15" s="13" t="str">
        <f t="shared" si="0"/>
        <v>PASS</v>
      </c>
      <c r="G15" s="60"/>
    </row>
    <row r="16" spans="1:15" x14ac:dyDescent="0.3">
      <c r="A16" s="60"/>
      <c r="B16" s="54"/>
      <c r="C16" s="53"/>
      <c r="D16" s="33" t="s">
        <v>8</v>
      </c>
      <c r="E16" s="34" t="str">
        <v>VARCHAR</v>
      </c>
      <c r="F16" s="13" t="str">
        <f t="shared" si="0"/>
        <v>PASS</v>
      </c>
      <c r="G16" s="60"/>
    </row>
    <row r="17" spans="1:7" x14ac:dyDescent="0.3">
      <c r="A17" s="60"/>
      <c r="B17" s="54"/>
      <c r="C17" s="53"/>
      <c r="D17" s="33" t="s">
        <v>8</v>
      </c>
      <c r="E17" s="34" t="str">
        <v>VARCHAR</v>
      </c>
      <c r="F17" s="13" t="str">
        <f t="shared" si="0"/>
        <v>PASS</v>
      </c>
      <c r="G17" s="60"/>
    </row>
    <row r="18" spans="1:7" x14ac:dyDescent="0.3">
      <c r="A18" s="56"/>
      <c r="B18" s="54"/>
      <c r="C18" s="53"/>
      <c r="D18" s="33" t="s">
        <v>8</v>
      </c>
      <c r="E18" s="34" t="str">
        <v>VARCHAR</v>
      </c>
      <c r="F18" s="13" t="str">
        <f t="shared" si="0"/>
        <v>PASS</v>
      </c>
      <c r="G18" s="56"/>
    </row>
    <row r="19" spans="1:7" x14ac:dyDescent="0.3">
      <c r="A19" s="55">
        <v>2</v>
      </c>
      <c r="B19" s="66" t="s">
        <v>255</v>
      </c>
      <c r="C19" s="53" t="s">
        <v>206</v>
      </c>
      <c r="D19" s="45" t="s">
        <v>205</v>
      </c>
      <c r="E19" s="46" t="str" cm="1">
        <f t="array" ref="E19:E25">_xll.DUCKDB.EXEC(C19,$B$1:$G$4)</f>
        <v>column_type</v>
      </c>
      <c r="F19" s="13" t="str">
        <f t="shared" si="0"/>
        <v>PASS</v>
      </c>
      <c r="G19" s="55" t="str">
        <f>IF(COUNTA(F19:F25)=COUNTIF(F19:F25,"PASS"),"PASS","FAIL")</f>
        <v>PASS</v>
      </c>
    </row>
    <row r="20" spans="1:7" x14ac:dyDescent="0.3">
      <c r="A20" s="60"/>
      <c r="B20" s="54"/>
      <c r="C20" s="53"/>
      <c r="D20" s="33" t="s">
        <v>12</v>
      </c>
      <c r="E20" s="34" t="str">
        <v>DOUBLE</v>
      </c>
      <c r="F20" s="13" t="str">
        <f t="shared" si="0"/>
        <v>PASS</v>
      </c>
      <c r="G20" s="60"/>
    </row>
    <row r="21" spans="1:7" x14ac:dyDescent="0.3">
      <c r="A21" s="60"/>
      <c r="B21" s="54"/>
      <c r="C21" s="53"/>
      <c r="D21" s="33" t="s">
        <v>8</v>
      </c>
      <c r="E21" s="34" t="str">
        <v>VARCHAR</v>
      </c>
      <c r="F21" s="13" t="str">
        <f t="shared" si="0"/>
        <v>PASS</v>
      </c>
      <c r="G21" s="60"/>
    </row>
    <row r="22" spans="1:7" ht="14.4" customHeight="1" x14ac:dyDescent="0.3">
      <c r="A22" s="60"/>
      <c r="B22" s="54"/>
      <c r="C22" s="53"/>
      <c r="D22" s="33" t="s">
        <v>8</v>
      </c>
      <c r="E22" s="34" t="str">
        <v>VARCHAR</v>
      </c>
      <c r="F22" s="13" t="str">
        <f t="shared" si="0"/>
        <v>PASS</v>
      </c>
      <c r="G22" s="60"/>
    </row>
    <row r="23" spans="1:7" x14ac:dyDescent="0.3">
      <c r="A23" s="60"/>
      <c r="B23" s="54"/>
      <c r="C23" s="53"/>
      <c r="D23" s="33" t="s">
        <v>8</v>
      </c>
      <c r="E23" s="34" t="str">
        <v>VARCHAR</v>
      </c>
      <c r="F23" s="13" t="str">
        <f t="shared" si="0"/>
        <v>PASS</v>
      </c>
      <c r="G23" s="60"/>
    </row>
    <row r="24" spans="1:7" ht="14.4" customHeight="1" x14ac:dyDescent="0.3">
      <c r="A24" s="60"/>
      <c r="B24" s="54"/>
      <c r="C24" s="53"/>
      <c r="D24" s="33" t="s">
        <v>8</v>
      </c>
      <c r="E24" s="34" t="str">
        <v>VARCHAR</v>
      </c>
      <c r="F24" s="13" t="str">
        <f t="shared" si="0"/>
        <v>PASS</v>
      </c>
      <c r="G24" s="60"/>
    </row>
    <row r="25" spans="1:7" x14ac:dyDescent="0.3">
      <c r="A25" s="56"/>
      <c r="B25" s="54"/>
      <c r="C25" s="53"/>
      <c r="D25" s="33" t="s">
        <v>8</v>
      </c>
      <c r="E25" s="34" t="str">
        <v>VARCHAR</v>
      </c>
      <c r="F25" s="13" t="str">
        <f t="shared" si="0"/>
        <v>PASS</v>
      </c>
      <c r="G25" s="56"/>
    </row>
    <row r="26" spans="1:7" x14ac:dyDescent="0.3">
      <c r="A26" s="55">
        <v>3</v>
      </c>
      <c r="B26" s="66" t="s">
        <v>256</v>
      </c>
      <c r="C26" s="53" t="s">
        <v>207</v>
      </c>
      <c r="D26" s="45" t="s">
        <v>205</v>
      </c>
      <c r="E26" s="46" t="str" cm="1">
        <f t="array" ref="E26:E32">_xll.DUCKDB.EXEC(C26,$B$1:$G$4)</f>
        <v>column_type</v>
      </c>
      <c r="F26" s="13" t="str">
        <f t="shared" si="0"/>
        <v>PASS</v>
      </c>
      <c r="G26" s="55" t="str">
        <f>IF(COUNTA(F26:F32)=COUNTIF(F26:F32,"PASS"),"PASS","FAIL")</f>
        <v>PASS</v>
      </c>
    </row>
    <row r="27" spans="1:7" x14ac:dyDescent="0.3">
      <c r="A27" s="60"/>
      <c r="B27" s="54"/>
      <c r="C27" s="53"/>
      <c r="D27" s="33" t="s">
        <v>8</v>
      </c>
      <c r="E27" s="34" t="str">
        <v>VARCHAR</v>
      </c>
      <c r="F27" s="13" t="str">
        <f t="shared" si="0"/>
        <v>PASS</v>
      </c>
      <c r="G27" s="60"/>
    </row>
    <row r="28" spans="1:7" x14ac:dyDescent="0.3">
      <c r="A28" s="60"/>
      <c r="B28" s="54"/>
      <c r="C28" s="53"/>
      <c r="D28" s="33" t="s">
        <v>8</v>
      </c>
      <c r="E28" s="34" t="str">
        <v>VARCHAR</v>
      </c>
      <c r="F28" s="13" t="str">
        <f t="shared" si="0"/>
        <v>PASS</v>
      </c>
      <c r="G28" s="60"/>
    </row>
    <row r="29" spans="1:7" x14ac:dyDescent="0.3">
      <c r="A29" s="60"/>
      <c r="B29" s="54"/>
      <c r="C29" s="53"/>
      <c r="D29" s="33" t="s">
        <v>8</v>
      </c>
      <c r="E29" s="34" t="str">
        <v>VARCHAR</v>
      </c>
      <c r="F29" s="13" t="str">
        <f t="shared" si="0"/>
        <v>PASS</v>
      </c>
      <c r="G29" s="60"/>
    </row>
    <row r="30" spans="1:7" x14ac:dyDescent="0.3">
      <c r="A30" s="60"/>
      <c r="B30" s="54"/>
      <c r="C30" s="53"/>
      <c r="D30" s="33" t="s">
        <v>8</v>
      </c>
      <c r="E30" s="34" t="str">
        <v>VARCHAR</v>
      </c>
      <c r="F30" s="13" t="str">
        <f t="shared" si="0"/>
        <v>PASS</v>
      </c>
      <c r="G30" s="60"/>
    </row>
    <row r="31" spans="1:7" x14ac:dyDescent="0.3">
      <c r="A31" s="60"/>
      <c r="B31" s="54"/>
      <c r="C31" s="53"/>
      <c r="D31" s="33" t="s">
        <v>8</v>
      </c>
      <c r="E31" s="34" t="str">
        <v>VARCHAR</v>
      </c>
      <c r="F31" s="13" t="str">
        <f t="shared" si="0"/>
        <v>PASS</v>
      </c>
      <c r="G31" s="60"/>
    </row>
    <row r="32" spans="1:7" x14ac:dyDescent="0.3">
      <c r="A32" s="56"/>
      <c r="B32" s="54"/>
      <c r="C32" s="53"/>
      <c r="D32" s="33" t="s">
        <v>8</v>
      </c>
      <c r="E32" s="34" t="str">
        <v>VARCHAR</v>
      </c>
      <c r="F32" s="13" t="str">
        <f t="shared" si="0"/>
        <v>PASS</v>
      </c>
      <c r="G32" s="56"/>
    </row>
    <row r="33" spans="1:7" x14ac:dyDescent="0.3">
      <c r="A33" s="55">
        <v>4</v>
      </c>
      <c r="B33" s="66" t="s">
        <v>257</v>
      </c>
      <c r="C33" s="53" t="s">
        <v>208</v>
      </c>
      <c r="D33" s="45" t="s">
        <v>205</v>
      </c>
      <c r="E33" s="46" t="str" cm="1">
        <f t="array" ref="E33:E39">_xll.DUCKDB.EXEC(C33,$B$1:$G$4)</f>
        <v>column_type</v>
      </c>
      <c r="F33" s="13" t="str">
        <f t="shared" si="0"/>
        <v>PASS</v>
      </c>
      <c r="G33" s="55" t="str">
        <f>IF(COUNTA(F33:F39)=COUNTIF(F33:F39,"PASS"),"PASS","FAIL")</f>
        <v>PASS</v>
      </c>
    </row>
    <row r="34" spans="1:7" x14ac:dyDescent="0.3">
      <c r="A34" s="60"/>
      <c r="B34" s="54"/>
      <c r="C34" s="53"/>
      <c r="D34" s="33" t="s">
        <v>8</v>
      </c>
      <c r="E34" s="34" t="str">
        <v>VARCHAR</v>
      </c>
      <c r="F34" s="13" t="str">
        <f t="shared" si="0"/>
        <v>PASS</v>
      </c>
      <c r="G34" s="60"/>
    </row>
    <row r="35" spans="1:7" x14ac:dyDescent="0.3">
      <c r="A35" s="60"/>
      <c r="B35" s="54"/>
      <c r="C35" s="53"/>
      <c r="D35" s="33" t="s">
        <v>8</v>
      </c>
      <c r="E35" s="34" t="str">
        <v>VARCHAR</v>
      </c>
      <c r="F35" s="13" t="str">
        <f t="shared" si="0"/>
        <v>PASS</v>
      </c>
      <c r="G35" s="60"/>
    </row>
    <row r="36" spans="1:7" x14ac:dyDescent="0.3">
      <c r="A36" s="60"/>
      <c r="B36" s="54"/>
      <c r="C36" s="53"/>
      <c r="D36" s="33" t="s">
        <v>8</v>
      </c>
      <c r="E36" s="34" t="str">
        <v>VARCHAR</v>
      </c>
      <c r="F36" s="13" t="str">
        <f t="shared" si="0"/>
        <v>PASS</v>
      </c>
      <c r="G36" s="60"/>
    </row>
    <row r="37" spans="1:7" x14ac:dyDescent="0.3">
      <c r="A37" s="60"/>
      <c r="B37" s="54"/>
      <c r="C37" s="53"/>
      <c r="D37" s="33" t="s">
        <v>8</v>
      </c>
      <c r="E37" s="34" t="str">
        <v>VARCHAR</v>
      </c>
      <c r="F37" s="13" t="str">
        <f t="shared" si="0"/>
        <v>PASS</v>
      </c>
      <c r="G37" s="60"/>
    </row>
    <row r="38" spans="1:7" x14ac:dyDescent="0.3">
      <c r="A38" s="60"/>
      <c r="B38" s="54"/>
      <c r="C38" s="53"/>
      <c r="D38" s="33" t="s">
        <v>8</v>
      </c>
      <c r="E38" s="34" t="str">
        <v>VARCHAR</v>
      </c>
      <c r="F38" s="13" t="str">
        <f t="shared" si="0"/>
        <v>PASS</v>
      </c>
      <c r="G38" s="60"/>
    </row>
    <row r="39" spans="1:7" x14ac:dyDescent="0.3">
      <c r="A39" s="56"/>
      <c r="B39" s="54"/>
      <c r="C39" s="53"/>
      <c r="D39" s="33" t="s">
        <v>8</v>
      </c>
      <c r="E39" s="34" t="str">
        <v>VARCHAR</v>
      </c>
      <c r="F39" s="13" t="str">
        <f t="shared" si="0"/>
        <v>PASS</v>
      </c>
      <c r="G39" s="56"/>
    </row>
    <row r="40" spans="1:7" x14ac:dyDescent="0.3">
      <c r="A40" s="55">
        <v>5</v>
      </c>
      <c r="B40" s="66" t="s">
        <v>258</v>
      </c>
      <c r="C40" s="53" t="s">
        <v>210</v>
      </c>
      <c r="D40" s="45" t="s">
        <v>216</v>
      </c>
      <c r="E40" s="46" t="str" cm="1">
        <f t="array" ref="E40:E46">_xll.DUCKDB.EXEC(C40,$J$2:$O$4)</f>
        <v>column_name</v>
      </c>
      <c r="F40" s="13" t="str">
        <f t="shared" si="0"/>
        <v>PASS</v>
      </c>
      <c r="G40" s="55" t="str">
        <f>IF(COUNTA(F40:F46)=COUNTIF(F40:F46,"PASS"),"PASS","FAIL")</f>
        <v>PASS</v>
      </c>
    </row>
    <row r="41" spans="1:7" x14ac:dyDescent="0.3">
      <c r="A41" s="60"/>
      <c r="B41" s="54"/>
      <c r="C41" s="53"/>
      <c r="D41" s="33" t="s">
        <v>197</v>
      </c>
      <c r="E41" s="34" t="str">
        <v>column_0</v>
      </c>
      <c r="F41" s="13" t="str">
        <f t="shared" si="0"/>
        <v>PASS</v>
      </c>
      <c r="G41" s="60"/>
    </row>
    <row r="42" spans="1:7" x14ac:dyDescent="0.3">
      <c r="A42" s="60"/>
      <c r="B42" s="54"/>
      <c r="C42" s="53"/>
      <c r="D42" s="33" t="s">
        <v>211</v>
      </c>
      <c r="E42" s="34" t="str">
        <v>column_1</v>
      </c>
      <c r="F42" s="13" t="str">
        <f t="shared" si="0"/>
        <v>PASS</v>
      </c>
      <c r="G42" s="60"/>
    </row>
    <row r="43" spans="1:7" x14ac:dyDescent="0.3">
      <c r="A43" s="60"/>
      <c r="B43" s="54"/>
      <c r="C43" s="53"/>
      <c r="D43" s="33" t="s">
        <v>212</v>
      </c>
      <c r="E43" s="34" t="str">
        <v>column_2</v>
      </c>
      <c r="F43" s="13" t="str">
        <f t="shared" si="0"/>
        <v>PASS</v>
      </c>
      <c r="G43" s="60"/>
    </row>
    <row r="44" spans="1:7" x14ac:dyDescent="0.3">
      <c r="A44" s="60"/>
      <c r="B44" s="54"/>
      <c r="C44" s="53"/>
      <c r="D44" s="33" t="s">
        <v>213</v>
      </c>
      <c r="E44" s="34" t="str">
        <v>column_3</v>
      </c>
      <c r="F44" s="13" t="str">
        <f t="shared" si="0"/>
        <v>PASS</v>
      </c>
      <c r="G44" s="60"/>
    </row>
    <row r="45" spans="1:7" x14ac:dyDescent="0.3">
      <c r="A45" s="60"/>
      <c r="B45" s="54"/>
      <c r="C45" s="53"/>
      <c r="D45" s="33" t="s">
        <v>214</v>
      </c>
      <c r="E45" s="34" t="str">
        <v>column_4</v>
      </c>
      <c r="F45" s="13" t="str">
        <f t="shared" si="0"/>
        <v>PASS</v>
      </c>
      <c r="G45" s="60"/>
    </row>
    <row r="46" spans="1:7" x14ac:dyDescent="0.3">
      <c r="A46" s="56"/>
      <c r="B46" s="54"/>
      <c r="C46" s="53"/>
      <c r="D46" s="33" t="s">
        <v>215</v>
      </c>
      <c r="E46" s="34" t="str">
        <v>column_5</v>
      </c>
      <c r="F46" s="13" t="str">
        <f t="shared" si="0"/>
        <v>PASS</v>
      </c>
      <c r="G46" s="56"/>
    </row>
    <row r="47" spans="1:7" ht="259.2" x14ac:dyDescent="0.3">
      <c r="A47" s="13">
        <v>6</v>
      </c>
      <c r="B47" s="51" t="s">
        <v>259</v>
      </c>
      <c r="C47" s="29" t="s">
        <v>209</v>
      </c>
      <c r="D47" s="33" t="s">
        <v>220</v>
      </c>
      <c r="E47" s="33" t="str" cm="1">
        <f t="array" ref="E47">_xll.DUCKDB.EXEC(C47,$J$1:$O$4)</f>
        <v>Binder Error: Error binding xlrange: Column 3: Invalid column name. Column names must be non-empty and valid DuckDB identifiers.
LINE 1: select column_name from (describe (from xlrange(1, sample=1)))
                                                ^^^^^^^^^^^^^^^^^^^^</v>
      </c>
      <c r="F47" s="13" t="str">
        <f>IF(ISNA(D47),IF(ISNA(E47),"PASS","FAIL"),IFERROR(IF(D47=LEFT(E47,LEN(D47)),"PASS","FAIL"),"FAIL"))</f>
        <v>PASS</v>
      </c>
      <c r="G47" s="13" t="str">
        <f>F47</f>
        <v>PASS</v>
      </c>
    </row>
    <row r="48" spans="1:7" x14ac:dyDescent="0.3">
      <c r="A48" s="55">
        <v>7</v>
      </c>
      <c r="B48" s="66" t="s">
        <v>260</v>
      </c>
      <c r="C48" s="53" t="s">
        <v>221</v>
      </c>
      <c r="D48" s="45" t="s">
        <v>216</v>
      </c>
      <c r="E48" s="46" t="str" cm="1">
        <f t="array" ref="E48:E54">_xll.DUCKDB.EXEC(C48,$J$1:$O$4)</f>
        <v>column_name</v>
      </c>
      <c r="F48" s="13" t="str">
        <f t="shared" ref="F48:F54" si="1">IF(E48=D48,"PASS","FAIL")</f>
        <v>PASS</v>
      </c>
      <c r="G48" s="55" t="str">
        <f>IF(COUNTA(F48:F54)=COUNTIF(F48:F54,"PASS"),"PASS","FAIL")</f>
        <v>PASS</v>
      </c>
    </row>
    <row r="49" spans="1:7" x14ac:dyDescent="0.3">
      <c r="A49" s="60"/>
      <c r="B49" s="54"/>
      <c r="C49" s="53"/>
      <c r="D49" s="33" t="s">
        <v>218</v>
      </c>
      <c r="E49" s="34" t="str">
        <v>a</v>
      </c>
      <c r="F49" s="13" t="str">
        <f t="shared" si="1"/>
        <v>PASS</v>
      </c>
      <c r="G49" s="60"/>
    </row>
    <row r="50" spans="1:7" x14ac:dyDescent="0.3">
      <c r="A50" s="60"/>
      <c r="B50" s="54"/>
      <c r="C50" s="53"/>
      <c r="D50" s="33" t="s">
        <v>222</v>
      </c>
      <c r="E50" s="34" t="str">
        <v>a_1</v>
      </c>
      <c r="F50" s="13" t="str">
        <f t="shared" si="1"/>
        <v>PASS</v>
      </c>
      <c r="G50" s="60"/>
    </row>
    <row r="51" spans="1:7" x14ac:dyDescent="0.3">
      <c r="A51" s="60"/>
      <c r="B51" s="54"/>
      <c r="C51" s="53"/>
      <c r="D51" s="33" t="s">
        <v>223</v>
      </c>
      <c r="E51" s="34" t="str">
        <v>unnamed_0</v>
      </c>
      <c r="F51" s="13" t="str">
        <f t="shared" si="1"/>
        <v>PASS</v>
      </c>
      <c r="G51" s="60"/>
    </row>
    <row r="52" spans="1:7" x14ac:dyDescent="0.3">
      <c r="A52" s="60"/>
      <c r="B52" s="54"/>
      <c r="C52" s="53"/>
      <c r="D52" s="33" t="s">
        <v>224</v>
      </c>
      <c r="E52" s="34" t="str">
        <v>unnamed_1</v>
      </c>
      <c r="F52" s="13" t="str">
        <f t="shared" si="1"/>
        <v>PASS</v>
      </c>
      <c r="G52" s="60"/>
    </row>
    <row r="53" spans="1:7" x14ac:dyDescent="0.3">
      <c r="A53" s="60"/>
      <c r="B53" s="54"/>
      <c r="C53" s="53"/>
      <c r="D53" s="33" t="s">
        <v>219</v>
      </c>
      <c r="E53" s="34" t="str">
        <v>b</v>
      </c>
      <c r="F53" s="13" t="str">
        <f t="shared" si="1"/>
        <v>PASS</v>
      </c>
      <c r="G53" s="60"/>
    </row>
    <row r="54" spans="1:7" x14ac:dyDescent="0.3">
      <c r="A54" s="56"/>
      <c r="B54" s="54"/>
      <c r="C54" s="53"/>
      <c r="D54" s="33" t="s">
        <v>217</v>
      </c>
      <c r="E54" s="34" t="str">
        <v>c</v>
      </c>
      <c r="F54" s="13" t="str">
        <f t="shared" si="1"/>
        <v>PASS</v>
      </c>
      <c r="G54" s="56"/>
    </row>
    <row r="55" spans="1:7" ht="100.8" x14ac:dyDescent="0.3">
      <c r="A55" s="13">
        <v>8</v>
      </c>
      <c r="B55" s="28" t="s">
        <v>261</v>
      </c>
      <c r="C55" s="28" t="s">
        <v>225</v>
      </c>
      <c r="D55" s="38" t="s">
        <v>174</v>
      </c>
      <c r="E55" s="39" t="str" cm="1">
        <f t="array" ref="E55">_xll.DUCKDB.EXEC(C55,$B$1:$G$4)</f>
        <v>Invalid Input Error: Error scanning xlrange: Column c1, row 3: Failed to convert value to INTEGER.</v>
      </c>
      <c r="F55" s="12" t="str">
        <f>IF(ISNA(D55),IF(ISNA(E55),"PASS","FAIL"),IFERROR(IF(D55=LEFT(E55,LEN(D55)),"PASS","FAIL"),"FAIL"))</f>
        <v>PASS</v>
      </c>
      <c r="G55" s="12" t="str">
        <f>F55</f>
        <v>PASS</v>
      </c>
    </row>
    <row r="56" spans="1:7" x14ac:dyDescent="0.3">
      <c r="A56" s="55">
        <v>9</v>
      </c>
      <c r="B56" s="72" t="s">
        <v>262</v>
      </c>
      <c r="C56" s="72" t="s">
        <v>226</v>
      </c>
      <c r="D56" s="6" t="s">
        <v>198</v>
      </c>
      <c r="E56" s="6" t="str" cm="1">
        <f t="array" ref="E56:E59">_xll.DUCKDB.EXEC(C56,$B$1:$G$4)</f>
        <v>c1</v>
      </c>
      <c r="F56" s="13" t="str">
        <f>IF(ISNA(D56),IF(ISNA(E56),"PASS","FAIL"),IFERROR(IF(D56=E56,"PASS","FAIL"),"FAIL"))</f>
        <v>PASS</v>
      </c>
      <c r="G56" s="55" t="str">
        <f>IF(COUNTA(F56:F59)=COUNTIF(F56:F59,"PASS"),"PASS","FAIL")</f>
        <v>PASS</v>
      </c>
    </row>
    <row r="57" spans="1:7" x14ac:dyDescent="0.3">
      <c r="A57" s="60"/>
      <c r="B57" s="58"/>
      <c r="C57" s="73"/>
      <c r="D57" s="8">
        <v>1</v>
      </c>
      <c r="E57" s="8">
        <v>1</v>
      </c>
      <c r="F57" s="13" t="str">
        <f t="shared" ref="F57:F71" si="2">IF(ISNA(D57),IF(ISNA(E57),"PASS","FAIL"),IFERROR(IF(D57=E57,"PASS","FAIL"),"FAIL"))</f>
        <v>PASS</v>
      </c>
      <c r="G57" s="60"/>
    </row>
    <row r="58" spans="1:7" x14ac:dyDescent="0.3">
      <c r="A58" s="60"/>
      <c r="B58" s="58"/>
      <c r="C58" s="73"/>
      <c r="D58" s="8" t="e">
        <v>#N/A</v>
      </c>
      <c r="E58" s="8" t="e">
        <v>#N/A</v>
      </c>
      <c r="F58" s="13" t="str">
        <f t="shared" si="2"/>
        <v>PASS</v>
      </c>
      <c r="G58" s="60"/>
    </row>
    <row r="59" spans="1:7" x14ac:dyDescent="0.3">
      <c r="A59" s="56"/>
      <c r="B59" s="59"/>
      <c r="C59" s="74"/>
      <c r="D59" s="8" t="e">
        <v>#N/A</v>
      </c>
      <c r="E59" s="8" t="e">
        <v>#N/A</v>
      </c>
      <c r="F59" s="13" t="str">
        <f t="shared" si="2"/>
        <v>PASS</v>
      </c>
      <c r="G59" s="56"/>
    </row>
    <row r="60" spans="1:7" ht="28.8" customHeight="1" x14ac:dyDescent="0.3">
      <c r="A60" s="52">
        <v>10</v>
      </c>
      <c r="B60" s="66" t="s">
        <v>269</v>
      </c>
      <c r="C60" s="72" t="s">
        <v>264</v>
      </c>
      <c r="D60" s="6" t="s">
        <v>198</v>
      </c>
      <c r="E60" s="6" t="str" cm="1">
        <f t="array" ref="E60:E62">_xll.DUCKDB.EXEC(C60,$B$6:$G$8)</f>
        <v>c1</v>
      </c>
      <c r="F60" s="50" t="str">
        <f t="shared" si="2"/>
        <v>PASS</v>
      </c>
      <c r="G60" s="52" t="str">
        <f>IF(COUNTA(F60:F62)=COUNTIF(F60:F62,"PASS"),"PASS","FAIL")</f>
        <v>PASS</v>
      </c>
    </row>
    <row r="61" spans="1:7" x14ac:dyDescent="0.3">
      <c r="A61" s="52"/>
      <c r="B61" s="66"/>
      <c r="C61" s="73"/>
      <c r="D61" s="8">
        <v>1</v>
      </c>
      <c r="E61" s="8">
        <v>1</v>
      </c>
      <c r="F61" s="50" t="str">
        <f t="shared" si="2"/>
        <v>PASS</v>
      </c>
      <c r="G61" s="52"/>
    </row>
    <row r="62" spans="1:7" x14ac:dyDescent="0.3">
      <c r="A62" s="52"/>
      <c r="B62" s="66"/>
      <c r="C62" s="74"/>
      <c r="D62" s="8">
        <v>1</v>
      </c>
      <c r="E62" s="8">
        <v>1</v>
      </c>
      <c r="F62" s="50" t="str">
        <f t="shared" si="2"/>
        <v>PASS</v>
      </c>
      <c r="G62" s="52"/>
    </row>
    <row r="63" spans="1:7" ht="28.8" customHeight="1" x14ac:dyDescent="0.3">
      <c r="A63" s="52">
        <v>11</v>
      </c>
      <c r="B63" s="66" t="s">
        <v>270</v>
      </c>
      <c r="C63" s="72" t="s">
        <v>265</v>
      </c>
      <c r="D63" s="6" t="s">
        <v>199</v>
      </c>
      <c r="E63" s="6" t="str" cm="1">
        <f t="array" ref="E63:E65">_xll.DUCKDB.EXEC(C63,$B$6:$G$8)</f>
        <v>c2</v>
      </c>
      <c r="F63" s="50" t="str">
        <f t="shared" si="2"/>
        <v>PASS</v>
      </c>
      <c r="G63" s="52" t="str">
        <f>IF(COUNTA(F63:F65)=COUNTIF(F63:F65,"PASS"),"PASS","FAIL")</f>
        <v>PASS</v>
      </c>
    </row>
    <row r="64" spans="1:7" x14ac:dyDescent="0.3">
      <c r="A64" s="52"/>
      <c r="B64" s="66"/>
      <c r="C64" s="73"/>
      <c r="D64" s="8">
        <v>1.2</v>
      </c>
      <c r="E64" s="8">
        <v>1.2</v>
      </c>
      <c r="F64" s="50" t="str">
        <f t="shared" si="2"/>
        <v>PASS</v>
      </c>
      <c r="G64" s="52"/>
    </row>
    <row r="65" spans="1:7" x14ac:dyDescent="0.3">
      <c r="A65" s="52"/>
      <c r="B65" s="66"/>
      <c r="C65" s="74"/>
      <c r="D65" s="8">
        <v>3.4</v>
      </c>
      <c r="E65" s="8">
        <v>3.4</v>
      </c>
      <c r="F65" s="50" t="str">
        <f t="shared" si="2"/>
        <v>PASS</v>
      </c>
      <c r="G65" s="52"/>
    </row>
    <row r="66" spans="1:7" ht="28.8" customHeight="1" x14ac:dyDescent="0.3">
      <c r="A66" s="52">
        <v>12</v>
      </c>
      <c r="B66" s="66" t="s">
        <v>271</v>
      </c>
      <c r="C66" s="72" t="s">
        <v>267</v>
      </c>
      <c r="D66" s="6" t="s">
        <v>198</v>
      </c>
      <c r="E66" s="6" t="str" cm="1">
        <f t="array" ref="E66:E68">_xll.DUCKDB.EXEC(C66,$B$6:$G$8)</f>
        <v>c1</v>
      </c>
      <c r="F66" s="50" t="str">
        <f t="shared" si="2"/>
        <v>PASS</v>
      </c>
      <c r="G66" s="52" t="str">
        <f>IF(COUNTA(F66:F68)=COUNTIF(F66:F68,"PASS"),"PASS","FAIL")</f>
        <v>PASS</v>
      </c>
    </row>
    <row r="67" spans="1:7" x14ac:dyDescent="0.3">
      <c r="A67" s="52"/>
      <c r="B67" s="66"/>
      <c r="C67" s="73"/>
      <c r="D67" s="8" t="b">
        <v>1</v>
      </c>
      <c r="E67" s="8" t="b">
        <v>1</v>
      </c>
      <c r="F67" s="50" t="str">
        <f t="shared" si="2"/>
        <v>PASS</v>
      </c>
      <c r="G67" s="52"/>
    </row>
    <row r="68" spans="1:7" x14ac:dyDescent="0.3">
      <c r="A68" s="52"/>
      <c r="B68" s="66"/>
      <c r="C68" s="74"/>
      <c r="D68" s="8" t="b">
        <v>1</v>
      </c>
      <c r="E68" s="8" t="b">
        <v>1</v>
      </c>
      <c r="F68" s="50" t="str">
        <f t="shared" si="2"/>
        <v>PASS</v>
      </c>
      <c r="G68" s="52"/>
    </row>
    <row r="69" spans="1:7" ht="28.8" customHeight="1" x14ac:dyDescent="0.3">
      <c r="A69" s="52">
        <v>13</v>
      </c>
      <c r="B69" s="66" t="s">
        <v>272</v>
      </c>
      <c r="C69" s="72" t="s">
        <v>268</v>
      </c>
      <c r="D69" s="6" t="s">
        <v>198</v>
      </c>
      <c r="E69" s="6" t="str" cm="1">
        <f t="array" ref="E69:E71">_xll.DUCKDB.EXEC(C69,$B$6:$G$8)</f>
        <v>c1</v>
      </c>
      <c r="F69" s="50" t="str">
        <f t="shared" si="2"/>
        <v>PASS</v>
      </c>
      <c r="G69" s="52" t="str">
        <f>IF(COUNTA(F69:F71)=COUNTIF(F69:F71,"PASS"),"PASS","FAIL")</f>
        <v>PASS</v>
      </c>
    </row>
    <row r="70" spans="1:7" x14ac:dyDescent="0.3">
      <c r="A70" s="52"/>
      <c r="B70" s="66"/>
      <c r="C70" s="73"/>
      <c r="D70" s="8" t="s">
        <v>263</v>
      </c>
      <c r="E70" s="8" t="str">
        <v>0001</v>
      </c>
      <c r="F70" s="50" t="str">
        <f t="shared" si="2"/>
        <v>PASS</v>
      </c>
      <c r="G70" s="52"/>
    </row>
    <row r="71" spans="1:7" x14ac:dyDescent="0.3">
      <c r="A71" s="52"/>
      <c r="B71" s="66"/>
      <c r="C71" s="74"/>
      <c r="D71" s="8" t="s">
        <v>62</v>
      </c>
      <c r="E71" s="8" t="str">
        <v>1</v>
      </c>
      <c r="F71" s="50" t="str">
        <f t="shared" si="2"/>
        <v>PASS</v>
      </c>
      <c r="G71" s="52"/>
    </row>
  </sheetData>
  <mergeCells count="44">
    <mergeCell ref="G48:G54"/>
    <mergeCell ref="G56:G59"/>
    <mergeCell ref="A40:A46"/>
    <mergeCell ref="A33:A39"/>
    <mergeCell ref="A26:A32"/>
    <mergeCell ref="G33:G39"/>
    <mergeCell ref="G40:G46"/>
    <mergeCell ref="C33:C39"/>
    <mergeCell ref="C40:C46"/>
    <mergeCell ref="C48:C54"/>
    <mergeCell ref="B48:B54"/>
    <mergeCell ref="B40:B46"/>
    <mergeCell ref="B33:B39"/>
    <mergeCell ref="B56:B59"/>
    <mergeCell ref="C56:C59"/>
    <mergeCell ref="A56:A59"/>
    <mergeCell ref="G12:G18"/>
    <mergeCell ref="G19:G25"/>
    <mergeCell ref="G26:G32"/>
    <mergeCell ref="C19:C25"/>
    <mergeCell ref="C26:C32"/>
    <mergeCell ref="A48:A54"/>
    <mergeCell ref="C12:C18"/>
    <mergeCell ref="B12:B18"/>
    <mergeCell ref="A19:A25"/>
    <mergeCell ref="A12:A18"/>
    <mergeCell ref="B26:B32"/>
    <mergeCell ref="B19:B25"/>
    <mergeCell ref="A60:A62"/>
    <mergeCell ref="A63:A65"/>
    <mergeCell ref="A66:A68"/>
    <mergeCell ref="A69:A71"/>
    <mergeCell ref="G60:G62"/>
    <mergeCell ref="G63:G65"/>
    <mergeCell ref="G66:G68"/>
    <mergeCell ref="G69:G71"/>
    <mergeCell ref="C60:C62"/>
    <mergeCell ref="C63:C65"/>
    <mergeCell ref="C66:C68"/>
    <mergeCell ref="C69:C71"/>
    <mergeCell ref="B60:B62"/>
    <mergeCell ref="B63:B65"/>
    <mergeCell ref="B66:B68"/>
    <mergeCell ref="B69:B71"/>
  </mergeCells>
  <conditionalFormatting sqref="F12:F55">
    <cfRule type="cellIs" dxfId="115" priority="217" stopIfTrue="1" operator="equal">
      <formula>"PASS"</formula>
    </cfRule>
    <cfRule type="cellIs" dxfId="114" priority="218" stopIfTrue="1" operator="equal">
      <formula>"FAIL"</formula>
    </cfRule>
  </conditionalFormatting>
  <conditionalFormatting sqref="F33:F39">
    <cfRule type="cellIs" dxfId="113" priority="115" stopIfTrue="1" operator="equal">
      <formula>"PASS"</formula>
    </cfRule>
    <cfRule type="cellIs" dxfId="112" priority="116" stopIfTrue="1" operator="equal">
      <formula>"FAIL"</formula>
    </cfRule>
  </conditionalFormatting>
  <conditionalFormatting sqref="F40:F46">
    <cfRule type="cellIs" dxfId="111" priority="113" stopIfTrue="1" operator="equal">
      <formula>"PASS"</formula>
    </cfRule>
    <cfRule type="cellIs" dxfId="110" priority="114" stopIfTrue="1" operator="equal">
      <formula>"FAIL"</formula>
    </cfRule>
  </conditionalFormatting>
  <conditionalFormatting sqref="F56:F59">
    <cfRule type="cellIs" dxfId="109" priority="99" stopIfTrue="1" operator="equal">
      <formula>"PASS"</formula>
    </cfRule>
    <cfRule type="cellIs" dxfId="108" priority="100" stopIfTrue="1" operator="equal">
      <formula>"FAIL"</formula>
    </cfRule>
  </conditionalFormatting>
  <conditionalFormatting sqref="F47">
    <cfRule type="cellIs" dxfId="107" priority="109" stopIfTrue="1" operator="equal">
      <formula>"PASS"</formula>
    </cfRule>
    <cfRule type="cellIs" dxfId="106" priority="110" stopIfTrue="1" operator="equal">
      <formula>"FAIL"</formula>
    </cfRule>
  </conditionalFormatting>
  <conditionalFormatting sqref="F49:F55">
    <cfRule type="cellIs" dxfId="105" priority="107" stopIfTrue="1" operator="equal">
      <formula>"PASS"</formula>
    </cfRule>
    <cfRule type="cellIs" dxfId="104" priority="108" stopIfTrue="1" operator="equal">
      <formula>"FAIL"</formula>
    </cfRule>
  </conditionalFormatting>
  <conditionalFormatting sqref="F48">
    <cfRule type="cellIs" dxfId="103" priority="105" stopIfTrue="1" operator="equal">
      <formula>"PASS"</formula>
    </cfRule>
    <cfRule type="cellIs" dxfId="102" priority="106" stopIfTrue="1" operator="equal">
      <formula>"FAIL"</formula>
    </cfRule>
  </conditionalFormatting>
  <conditionalFormatting sqref="F55">
    <cfRule type="cellIs" dxfId="101" priority="103" stopIfTrue="1" operator="equal">
      <formula>"PASS"</formula>
    </cfRule>
    <cfRule type="cellIs" dxfId="100" priority="104" stopIfTrue="1" operator="equal">
      <formula>"FAIL"</formula>
    </cfRule>
  </conditionalFormatting>
  <conditionalFormatting sqref="F56:F59">
    <cfRule type="cellIs" dxfId="99" priority="101" stopIfTrue="1" operator="equal">
      <formula>"PASS"</formula>
    </cfRule>
    <cfRule type="cellIs" dxfId="98" priority="102" stopIfTrue="1" operator="equal">
      <formula>"FAIL"</formula>
    </cfRule>
  </conditionalFormatting>
  <conditionalFormatting sqref="G12 G19 G26 G33 G40 G47:G48 G55">
    <cfRule type="cellIs" dxfId="97" priority="97" stopIfTrue="1" operator="equal">
      <formula>"PASS"</formula>
    </cfRule>
    <cfRule type="cellIs" dxfId="96" priority="98" stopIfTrue="1" operator="equal">
      <formula>"FAIL"</formula>
    </cfRule>
  </conditionalFormatting>
  <conditionalFormatting sqref="G33">
    <cfRule type="cellIs" dxfId="95" priority="95" stopIfTrue="1" operator="equal">
      <formula>"PASS"</formula>
    </cfRule>
    <cfRule type="cellIs" dxfId="94" priority="96" stopIfTrue="1" operator="equal">
      <formula>"FAIL"</formula>
    </cfRule>
  </conditionalFormatting>
  <conditionalFormatting sqref="G40">
    <cfRule type="cellIs" dxfId="93" priority="93" stopIfTrue="1" operator="equal">
      <formula>"PASS"</formula>
    </cfRule>
    <cfRule type="cellIs" dxfId="92" priority="94" stopIfTrue="1" operator="equal">
      <formula>"FAIL"</formula>
    </cfRule>
  </conditionalFormatting>
  <conditionalFormatting sqref="G47">
    <cfRule type="cellIs" dxfId="91" priority="91" stopIfTrue="1" operator="equal">
      <formula>"PASS"</formula>
    </cfRule>
    <cfRule type="cellIs" dxfId="90" priority="92" stopIfTrue="1" operator="equal">
      <formula>"FAIL"</formula>
    </cfRule>
  </conditionalFormatting>
  <conditionalFormatting sqref="G55">
    <cfRule type="cellIs" dxfId="89" priority="89" stopIfTrue="1" operator="equal">
      <formula>"PASS"</formula>
    </cfRule>
    <cfRule type="cellIs" dxfId="88" priority="90" stopIfTrue="1" operator="equal">
      <formula>"FAIL"</formula>
    </cfRule>
  </conditionalFormatting>
  <conditionalFormatting sqref="G48">
    <cfRule type="cellIs" dxfId="87" priority="87" stopIfTrue="1" operator="equal">
      <formula>"PASS"</formula>
    </cfRule>
    <cfRule type="cellIs" dxfId="86" priority="88" stopIfTrue="1" operator="equal">
      <formula>"FAIL"</formula>
    </cfRule>
  </conditionalFormatting>
  <conditionalFormatting sqref="G55">
    <cfRule type="cellIs" dxfId="85" priority="85" stopIfTrue="1" operator="equal">
      <formula>"PASS"</formula>
    </cfRule>
    <cfRule type="cellIs" dxfId="84" priority="86" stopIfTrue="1" operator="equal">
      <formula>"FAIL"</formula>
    </cfRule>
  </conditionalFormatting>
  <conditionalFormatting sqref="G48">
    <cfRule type="cellIs" dxfId="83" priority="79" stopIfTrue="1" operator="equal">
      <formula>"PASS"</formula>
    </cfRule>
    <cfRule type="cellIs" dxfId="82" priority="80" stopIfTrue="1" operator="equal">
      <formula>"FAIL"</formula>
    </cfRule>
  </conditionalFormatting>
  <conditionalFormatting sqref="G56">
    <cfRule type="cellIs" dxfId="81" priority="77" stopIfTrue="1" operator="equal">
      <formula>"PASS"</formula>
    </cfRule>
    <cfRule type="cellIs" dxfId="80" priority="78" stopIfTrue="1" operator="equal">
      <formula>"FAIL"</formula>
    </cfRule>
  </conditionalFormatting>
  <conditionalFormatting sqref="G56">
    <cfRule type="cellIs" dxfId="79" priority="75" stopIfTrue="1" operator="equal">
      <formula>"PASS"</formula>
    </cfRule>
    <cfRule type="cellIs" dxfId="78" priority="76" stopIfTrue="1" operator="equal">
      <formula>"FAIL"</formula>
    </cfRule>
  </conditionalFormatting>
  <conditionalFormatting sqref="G56">
    <cfRule type="cellIs" dxfId="77" priority="73" stopIfTrue="1" operator="equal">
      <formula>"PASS"</formula>
    </cfRule>
    <cfRule type="cellIs" dxfId="76" priority="74" stopIfTrue="1" operator="equal">
      <formula>"FAIL"</formula>
    </cfRule>
  </conditionalFormatting>
  <conditionalFormatting sqref="F60">
    <cfRule type="cellIs" dxfId="75" priority="69" stopIfTrue="1" operator="equal">
      <formula>"PASS"</formula>
    </cfRule>
    <cfRule type="cellIs" dxfId="74" priority="70" stopIfTrue="1" operator="equal">
      <formula>"FAIL"</formula>
    </cfRule>
  </conditionalFormatting>
  <conditionalFormatting sqref="F60">
    <cfRule type="cellIs" dxfId="73" priority="71" stopIfTrue="1" operator="equal">
      <formula>"PASS"</formula>
    </cfRule>
    <cfRule type="cellIs" dxfId="72" priority="72" stopIfTrue="1" operator="equal">
      <formula>"FAIL"</formula>
    </cfRule>
  </conditionalFormatting>
  <conditionalFormatting sqref="F61">
    <cfRule type="cellIs" dxfId="71" priority="65" stopIfTrue="1" operator="equal">
      <formula>"PASS"</formula>
    </cfRule>
    <cfRule type="cellIs" dxfId="70" priority="66" stopIfTrue="1" operator="equal">
      <formula>"FAIL"</formula>
    </cfRule>
  </conditionalFormatting>
  <conditionalFormatting sqref="F61">
    <cfRule type="cellIs" dxfId="69" priority="67" stopIfTrue="1" operator="equal">
      <formula>"PASS"</formula>
    </cfRule>
    <cfRule type="cellIs" dxfId="68" priority="68" stopIfTrue="1" operator="equal">
      <formula>"FAIL"</formula>
    </cfRule>
  </conditionalFormatting>
  <conditionalFormatting sqref="F62">
    <cfRule type="cellIs" dxfId="67" priority="61" stopIfTrue="1" operator="equal">
      <formula>"PASS"</formula>
    </cfRule>
    <cfRule type="cellIs" dxfId="66" priority="62" stopIfTrue="1" operator="equal">
      <formula>"FAIL"</formula>
    </cfRule>
  </conditionalFormatting>
  <conditionalFormatting sqref="F62">
    <cfRule type="cellIs" dxfId="65" priority="63" stopIfTrue="1" operator="equal">
      <formula>"PASS"</formula>
    </cfRule>
    <cfRule type="cellIs" dxfId="64" priority="64" stopIfTrue="1" operator="equal">
      <formula>"FAIL"</formula>
    </cfRule>
  </conditionalFormatting>
  <conditionalFormatting sqref="F63">
    <cfRule type="cellIs" dxfId="63" priority="57" stopIfTrue="1" operator="equal">
      <formula>"PASS"</formula>
    </cfRule>
    <cfRule type="cellIs" dxfId="62" priority="58" stopIfTrue="1" operator="equal">
      <formula>"FAIL"</formula>
    </cfRule>
  </conditionalFormatting>
  <conditionalFormatting sqref="F63">
    <cfRule type="cellIs" dxfId="61" priority="59" stopIfTrue="1" operator="equal">
      <formula>"PASS"</formula>
    </cfRule>
    <cfRule type="cellIs" dxfId="60" priority="60" stopIfTrue="1" operator="equal">
      <formula>"FAIL"</formula>
    </cfRule>
  </conditionalFormatting>
  <conditionalFormatting sqref="F64">
    <cfRule type="cellIs" dxfId="59" priority="53" stopIfTrue="1" operator="equal">
      <formula>"PASS"</formula>
    </cfRule>
    <cfRule type="cellIs" dxfId="58" priority="54" stopIfTrue="1" operator="equal">
      <formula>"FAIL"</formula>
    </cfRule>
  </conditionalFormatting>
  <conditionalFormatting sqref="F64">
    <cfRule type="cellIs" dxfId="57" priority="55" stopIfTrue="1" operator="equal">
      <formula>"PASS"</formula>
    </cfRule>
    <cfRule type="cellIs" dxfId="56" priority="56" stopIfTrue="1" operator="equal">
      <formula>"FAIL"</formula>
    </cfRule>
  </conditionalFormatting>
  <conditionalFormatting sqref="F65">
    <cfRule type="cellIs" dxfId="55" priority="49" stopIfTrue="1" operator="equal">
      <formula>"PASS"</formula>
    </cfRule>
    <cfRule type="cellIs" dxfId="54" priority="50" stopIfTrue="1" operator="equal">
      <formula>"FAIL"</formula>
    </cfRule>
  </conditionalFormatting>
  <conditionalFormatting sqref="F65">
    <cfRule type="cellIs" dxfId="53" priority="51" stopIfTrue="1" operator="equal">
      <formula>"PASS"</formula>
    </cfRule>
    <cfRule type="cellIs" dxfId="52" priority="52" stopIfTrue="1" operator="equal">
      <formula>"FAIL"</formula>
    </cfRule>
  </conditionalFormatting>
  <conditionalFormatting sqref="F66">
    <cfRule type="cellIs" dxfId="51" priority="45" stopIfTrue="1" operator="equal">
      <formula>"PASS"</formula>
    </cfRule>
    <cfRule type="cellIs" dxfId="50" priority="46" stopIfTrue="1" operator="equal">
      <formula>"FAIL"</formula>
    </cfRule>
  </conditionalFormatting>
  <conditionalFormatting sqref="F66">
    <cfRule type="cellIs" dxfId="49" priority="47" stopIfTrue="1" operator="equal">
      <formula>"PASS"</formula>
    </cfRule>
    <cfRule type="cellIs" dxfId="48" priority="48" stopIfTrue="1" operator="equal">
      <formula>"FAIL"</formula>
    </cfRule>
  </conditionalFormatting>
  <conditionalFormatting sqref="F67">
    <cfRule type="cellIs" dxfId="47" priority="41" stopIfTrue="1" operator="equal">
      <formula>"PASS"</formula>
    </cfRule>
    <cfRule type="cellIs" dxfId="46" priority="42" stopIfTrue="1" operator="equal">
      <formula>"FAIL"</formula>
    </cfRule>
  </conditionalFormatting>
  <conditionalFormatting sqref="F67">
    <cfRule type="cellIs" dxfId="45" priority="43" stopIfTrue="1" operator="equal">
      <formula>"PASS"</formula>
    </cfRule>
    <cfRule type="cellIs" dxfId="44" priority="44" stopIfTrue="1" operator="equal">
      <formula>"FAIL"</formula>
    </cfRule>
  </conditionalFormatting>
  <conditionalFormatting sqref="F68">
    <cfRule type="cellIs" dxfId="43" priority="37" stopIfTrue="1" operator="equal">
      <formula>"PASS"</formula>
    </cfRule>
    <cfRule type="cellIs" dxfId="42" priority="38" stopIfTrue="1" operator="equal">
      <formula>"FAIL"</formula>
    </cfRule>
  </conditionalFormatting>
  <conditionalFormatting sqref="F68">
    <cfRule type="cellIs" dxfId="41" priority="39" stopIfTrue="1" operator="equal">
      <formula>"PASS"</formula>
    </cfRule>
    <cfRule type="cellIs" dxfId="40" priority="40" stopIfTrue="1" operator="equal">
      <formula>"FAIL"</formula>
    </cfRule>
  </conditionalFormatting>
  <conditionalFormatting sqref="F69">
    <cfRule type="cellIs" dxfId="39" priority="33" stopIfTrue="1" operator="equal">
      <formula>"PASS"</formula>
    </cfRule>
    <cfRule type="cellIs" dxfId="38" priority="34" stopIfTrue="1" operator="equal">
      <formula>"FAIL"</formula>
    </cfRule>
  </conditionalFormatting>
  <conditionalFormatting sqref="F69">
    <cfRule type="cellIs" dxfId="37" priority="35" stopIfTrue="1" operator="equal">
      <formula>"PASS"</formula>
    </cfRule>
    <cfRule type="cellIs" dxfId="36" priority="36" stopIfTrue="1" operator="equal">
      <formula>"FAIL"</formula>
    </cfRule>
  </conditionalFormatting>
  <conditionalFormatting sqref="F70">
    <cfRule type="cellIs" dxfId="35" priority="29" stopIfTrue="1" operator="equal">
      <formula>"PASS"</formula>
    </cfRule>
    <cfRule type="cellIs" dxfId="34" priority="30" stopIfTrue="1" operator="equal">
      <formula>"FAIL"</formula>
    </cfRule>
  </conditionalFormatting>
  <conditionalFormatting sqref="F70">
    <cfRule type="cellIs" dxfId="33" priority="31" stopIfTrue="1" operator="equal">
      <formula>"PASS"</formula>
    </cfRule>
    <cfRule type="cellIs" dxfId="32" priority="32" stopIfTrue="1" operator="equal">
      <formula>"FAIL"</formula>
    </cfRule>
  </conditionalFormatting>
  <conditionalFormatting sqref="F71">
    <cfRule type="cellIs" dxfId="31" priority="25" stopIfTrue="1" operator="equal">
      <formula>"PASS"</formula>
    </cfRule>
    <cfRule type="cellIs" dxfId="30" priority="26" stopIfTrue="1" operator="equal">
      <formula>"FAIL"</formula>
    </cfRule>
  </conditionalFormatting>
  <conditionalFormatting sqref="F71">
    <cfRule type="cellIs" dxfId="29" priority="27" stopIfTrue="1" operator="equal">
      <formula>"PASS"</formula>
    </cfRule>
    <cfRule type="cellIs" dxfId="28" priority="28" stopIfTrue="1" operator="equal">
      <formula>"FAIL"</formula>
    </cfRule>
  </conditionalFormatting>
  <conditionalFormatting sqref="G60">
    <cfRule type="cellIs" dxfId="27" priority="23" stopIfTrue="1" operator="equal">
      <formula>"PASS"</formula>
    </cfRule>
    <cfRule type="cellIs" dxfId="26" priority="24" stopIfTrue="1" operator="equal">
      <formula>"FAIL"</formula>
    </cfRule>
  </conditionalFormatting>
  <conditionalFormatting sqref="G60">
    <cfRule type="cellIs" dxfId="25" priority="21" stopIfTrue="1" operator="equal">
      <formula>"PASS"</formula>
    </cfRule>
    <cfRule type="cellIs" dxfId="24" priority="22" stopIfTrue="1" operator="equal">
      <formula>"FAIL"</formula>
    </cfRule>
  </conditionalFormatting>
  <conditionalFormatting sqref="G60">
    <cfRule type="cellIs" dxfId="23" priority="19" stopIfTrue="1" operator="equal">
      <formula>"PASS"</formula>
    </cfRule>
    <cfRule type="cellIs" dxfId="22" priority="20" stopIfTrue="1" operator="equal">
      <formula>"FAIL"</formula>
    </cfRule>
  </conditionalFormatting>
  <conditionalFormatting sqref="G63">
    <cfRule type="cellIs" dxfId="21" priority="17" stopIfTrue="1" operator="equal">
      <formula>"PASS"</formula>
    </cfRule>
    <cfRule type="cellIs" dxfId="20" priority="18" stopIfTrue="1" operator="equal">
      <formula>"FAIL"</formula>
    </cfRule>
  </conditionalFormatting>
  <conditionalFormatting sqref="G63">
    <cfRule type="cellIs" dxfId="19" priority="15" stopIfTrue="1" operator="equal">
      <formula>"PASS"</formula>
    </cfRule>
    <cfRule type="cellIs" dxfId="18" priority="16" stopIfTrue="1" operator="equal">
      <formula>"FAIL"</formula>
    </cfRule>
  </conditionalFormatting>
  <conditionalFormatting sqref="G63">
    <cfRule type="cellIs" dxfId="17" priority="13" stopIfTrue="1" operator="equal">
      <formula>"PASS"</formula>
    </cfRule>
    <cfRule type="cellIs" dxfId="16" priority="14" stopIfTrue="1" operator="equal">
      <formula>"FAIL"</formula>
    </cfRule>
  </conditionalFormatting>
  <conditionalFormatting sqref="G66">
    <cfRule type="cellIs" dxfId="15" priority="11" stopIfTrue="1" operator="equal">
      <formula>"PASS"</formula>
    </cfRule>
    <cfRule type="cellIs" dxfId="14" priority="12" stopIfTrue="1" operator="equal">
      <formula>"FAIL"</formula>
    </cfRule>
  </conditionalFormatting>
  <conditionalFormatting sqref="G66">
    <cfRule type="cellIs" dxfId="13" priority="9" stopIfTrue="1" operator="equal">
      <formula>"PASS"</formula>
    </cfRule>
    <cfRule type="cellIs" dxfId="12" priority="10" stopIfTrue="1" operator="equal">
      <formula>"FAIL"</formula>
    </cfRule>
  </conditionalFormatting>
  <conditionalFormatting sqref="G66">
    <cfRule type="cellIs" dxfId="11" priority="7" stopIfTrue="1" operator="equal">
      <formula>"PASS"</formula>
    </cfRule>
    <cfRule type="cellIs" dxfId="10" priority="8" stopIfTrue="1" operator="equal">
      <formula>"FAIL"</formula>
    </cfRule>
  </conditionalFormatting>
  <conditionalFormatting sqref="G69">
    <cfRule type="cellIs" dxfId="9" priority="5" stopIfTrue="1" operator="equal">
      <formula>"PASS"</formula>
    </cfRule>
    <cfRule type="cellIs" dxfId="8" priority="6" stopIfTrue="1" operator="equal">
      <formula>"FAIL"</formula>
    </cfRule>
  </conditionalFormatting>
  <conditionalFormatting sqref="G69">
    <cfRule type="cellIs" dxfId="7" priority="3" stopIfTrue="1" operator="equal">
      <formula>"PASS"</formula>
    </cfRule>
    <cfRule type="cellIs" dxfId="6" priority="4" stopIfTrue="1" operator="equal">
      <formula>"FAIL"</formula>
    </cfRule>
  </conditionalFormatting>
  <conditionalFormatting sqref="G69">
    <cfRule type="cellIs" dxfId="5" priority="1" stopIfTrue="1" operator="equal">
      <formula>"PASS"</formula>
    </cfRule>
    <cfRule type="cellIs" dxfId="4" priority="2" stopIfTrue="1" operator="equal">
      <formula>"FAIL"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36AEC-DD0A-4797-B454-6E20C81CB53A}">
  <dimension ref="A1:G4"/>
  <sheetViews>
    <sheetView workbookViewId="0"/>
  </sheetViews>
  <sheetFormatPr defaultRowHeight="14.4" x14ac:dyDescent="0.3"/>
  <cols>
    <col min="2" max="2" width="23.88671875" customWidth="1"/>
    <col min="3" max="3" width="25.109375" customWidth="1"/>
    <col min="4" max="4" width="31" bestFit="1" customWidth="1"/>
    <col min="5" max="5" width="24.109375" customWidth="1"/>
    <col min="6" max="6" width="22.44140625" bestFit="1" customWidth="1"/>
    <col min="7" max="7" width="16.33203125" customWidth="1"/>
    <col min="8" max="8" width="10.5546875" bestFit="1" customWidth="1"/>
  </cols>
  <sheetData>
    <row r="1" spans="1:7" x14ac:dyDescent="0.3">
      <c r="A1" s="7" t="s">
        <v>243</v>
      </c>
      <c r="B1" s="7" t="s">
        <v>66</v>
      </c>
      <c r="C1" s="7" t="s">
        <v>124</v>
      </c>
      <c r="D1" s="7" t="s">
        <v>143</v>
      </c>
      <c r="E1" s="7" t="s">
        <v>146</v>
      </c>
      <c r="F1" s="7" t="s">
        <v>145</v>
      </c>
      <c r="G1" s="7" t="s">
        <v>172</v>
      </c>
    </row>
    <row r="2" spans="1:7" x14ac:dyDescent="0.3">
      <c r="A2" s="9">
        <v>1</v>
      </c>
      <c r="B2" s="8" t="s">
        <v>227</v>
      </c>
      <c r="C2" s="41">
        <v>46387</v>
      </c>
      <c r="D2" s="8" t="s">
        <v>230</v>
      </c>
      <c r="E2" s="41">
        <v>46568</v>
      </c>
      <c r="F2" s="41" cm="1">
        <f t="array" ref="F2">INDEX(_xll.DUCKDB.EXEC(D2,C2),2)</f>
        <v>46568</v>
      </c>
      <c r="G2" s="13" t="str">
        <f>IF(F2=E2,"PASS","FAIL")</f>
        <v>PASS</v>
      </c>
    </row>
    <row r="3" spans="1:7" x14ac:dyDescent="0.3">
      <c r="A3" s="9">
        <v>2</v>
      </c>
      <c r="B3" s="8" t="s">
        <v>228</v>
      </c>
      <c r="C3" s="42">
        <v>0.39635416666666667</v>
      </c>
      <c r="D3" s="8" t="s">
        <v>231</v>
      </c>
      <c r="E3" s="42">
        <v>0.3894097222222222</v>
      </c>
      <c r="F3" s="42" cm="1">
        <f t="array" ref="F3">INDEX(_xll.DUCKDB.EXEC(D3,C3),2)</f>
        <v>0.3894097222222222</v>
      </c>
      <c r="G3" s="13" t="str">
        <f t="shared" ref="G3:G4" si="0">IF(F3=E3,"PASS","FAIL")</f>
        <v>PASS</v>
      </c>
    </row>
    <row r="4" spans="1:7" x14ac:dyDescent="0.3">
      <c r="A4" s="9">
        <v>3</v>
      </c>
      <c r="B4" s="8" t="s">
        <v>229</v>
      </c>
      <c r="C4" s="23">
        <v>46387.396354166667</v>
      </c>
      <c r="D4" s="8" t="s">
        <v>232</v>
      </c>
      <c r="E4" s="23">
        <v>46394.396354166667</v>
      </c>
      <c r="F4" s="23" cm="1">
        <f t="array" ref="F4">INDEX(_xll.DUCKDB.EXEC(D4,C4),2)</f>
        <v>46394.396354166667</v>
      </c>
      <c r="G4" s="13" t="str">
        <f t="shared" si="0"/>
        <v>PASS</v>
      </c>
    </row>
  </sheetData>
  <conditionalFormatting sqref="G2:G4">
    <cfRule type="cellIs" dxfId="3" priority="1" stopIfTrue="1" operator="equal">
      <formula>"PASS"</formula>
    </cfRule>
    <cfRule type="cellIs" dxfId="2" priority="2" stopIfTrue="1" operator="equal">
      <formula>"FAIL"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4BE2-F564-4E42-8CE8-BFC8C65E358F}">
  <dimension ref="A1:G8"/>
  <sheetViews>
    <sheetView workbookViewId="0"/>
  </sheetViews>
  <sheetFormatPr defaultRowHeight="14.4" x14ac:dyDescent="0.3"/>
  <cols>
    <col min="1" max="1" width="6.44140625" customWidth="1"/>
    <col min="2" max="2" width="21" bestFit="1" customWidth="1"/>
    <col min="3" max="3" width="28.33203125" bestFit="1" customWidth="1"/>
    <col min="4" max="4" width="18.44140625" bestFit="1" customWidth="1"/>
    <col min="5" max="5" width="18.5546875" customWidth="1"/>
    <col min="6" max="6" width="16.44140625" customWidth="1"/>
    <col min="7" max="7" width="12.5546875" customWidth="1"/>
  </cols>
  <sheetData>
    <row r="1" spans="1:7" x14ac:dyDescent="0.3">
      <c r="A1" s="43" t="s">
        <v>243</v>
      </c>
      <c r="B1" s="43" t="s">
        <v>123</v>
      </c>
      <c r="C1" s="43" t="s">
        <v>235</v>
      </c>
      <c r="D1" s="43" t="s">
        <v>236</v>
      </c>
      <c r="E1" s="43" t="s">
        <v>146</v>
      </c>
      <c r="F1" s="43" t="s">
        <v>145</v>
      </c>
      <c r="G1" s="7" t="s">
        <v>172</v>
      </c>
    </row>
    <row r="2" spans="1:7" x14ac:dyDescent="0.3">
      <c r="A2" s="9">
        <v>1</v>
      </c>
      <c r="B2" s="8" t="s">
        <v>54</v>
      </c>
      <c r="C2" s="44" t="s">
        <v>46</v>
      </c>
      <c r="D2" s="44" t="s">
        <v>47</v>
      </c>
      <c r="E2" s="8">
        <v>1</v>
      </c>
      <c r="F2" s="8" cm="1">
        <f t="array" ref="F2">INDEX(_xll.DUCKDB.EXECX(C2,D2),2)</f>
        <v>1</v>
      </c>
      <c r="G2" s="13" t="str">
        <f>IF(F2=E2,"PASS","FAIL")</f>
        <v>PASS</v>
      </c>
    </row>
    <row r="3" spans="1:7" x14ac:dyDescent="0.3">
      <c r="A3" s="9">
        <v>2</v>
      </c>
      <c r="B3" s="8" t="s">
        <v>55</v>
      </c>
      <c r="C3" s="44" t="s">
        <v>46</v>
      </c>
      <c r="D3" s="44" t="s">
        <v>47</v>
      </c>
      <c r="E3" s="8">
        <v>1</v>
      </c>
      <c r="F3" s="8" cm="1">
        <f t="array" ref="F3">INDEX(_xll.DUCKDB.EXECX.ASYNC(C3,D3),2)</f>
        <v>1</v>
      </c>
      <c r="G3" s="13" t="str">
        <f t="shared" ref="G3:G8" si="0">IF(F3=E3,"PASS","FAIL")</f>
        <v>PASS</v>
      </c>
    </row>
    <row r="4" spans="1:7" x14ac:dyDescent="0.3">
      <c r="A4" s="9">
        <v>3</v>
      </c>
      <c r="B4" s="8" t="s">
        <v>58</v>
      </c>
      <c r="C4" s="44"/>
      <c r="D4" s="44" t="s">
        <v>52</v>
      </c>
      <c r="E4" s="8">
        <v>1</v>
      </c>
      <c r="F4" s="8" cm="1">
        <f t="array" ref="F4">INDEX(_xll.DUCKDB.EXECA(,D4),2)</f>
        <v>1</v>
      </c>
      <c r="G4" s="13" t="str">
        <f t="shared" si="0"/>
        <v>PASS</v>
      </c>
    </row>
    <row r="5" spans="1:7" x14ac:dyDescent="0.3">
      <c r="A5" s="9">
        <v>4</v>
      </c>
      <c r="B5" s="8" t="s">
        <v>59</v>
      </c>
      <c r="C5" s="44"/>
      <c r="D5" s="44" t="s">
        <v>52</v>
      </c>
      <c r="E5" s="8">
        <v>1</v>
      </c>
      <c r="F5" s="8" cm="1">
        <f t="array" ref="F5">INDEX(_xll.DUCKDB.EXECA.ASYNC(,D5),2)</f>
        <v>1</v>
      </c>
      <c r="G5" s="13" t="str">
        <f t="shared" si="0"/>
        <v>PASS</v>
      </c>
    </row>
    <row r="6" spans="1:7" x14ac:dyDescent="0.3">
      <c r="A6" s="9">
        <v>5</v>
      </c>
      <c r="B6" s="8" t="s">
        <v>61</v>
      </c>
      <c r="C6" s="44" t="s">
        <v>46</v>
      </c>
      <c r="D6" s="44" t="s">
        <v>47</v>
      </c>
      <c r="E6" s="8">
        <v>1</v>
      </c>
      <c r="F6" s="8" cm="1">
        <f t="array" ref="F6">INDEX(_xll.DUCKDB.EXECAX(,C6,D6),2)</f>
        <v>1</v>
      </c>
      <c r="G6" s="13" t="str">
        <f t="shared" si="0"/>
        <v>PASS</v>
      </c>
    </row>
    <row r="7" spans="1:7" x14ac:dyDescent="0.3">
      <c r="A7" s="9">
        <v>6</v>
      </c>
      <c r="B7" s="8" t="s">
        <v>60</v>
      </c>
      <c r="C7" s="44" t="s">
        <v>46</v>
      </c>
      <c r="D7" s="44" t="s">
        <v>47</v>
      </c>
      <c r="E7" s="8">
        <v>1</v>
      </c>
      <c r="F7" s="8" cm="1">
        <f t="array" ref="F7">INDEX(_xll.DUCKDB.EXECAX.ASYNC(,C7,D7),2)</f>
        <v>1</v>
      </c>
      <c r="G7" s="13" t="str">
        <f t="shared" si="0"/>
        <v>PASS</v>
      </c>
    </row>
    <row r="8" spans="1:7" x14ac:dyDescent="0.3">
      <c r="A8" s="9">
        <v>7</v>
      </c>
      <c r="B8" s="8" t="s">
        <v>53</v>
      </c>
      <c r="C8" s="44"/>
      <c r="D8" s="44" t="s">
        <v>52</v>
      </c>
      <c r="E8" s="8">
        <v>1</v>
      </c>
      <c r="F8" s="8" cm="1">
        <f t="array" ref="F8">INDEX(_xll.DUCKDB.EXEC.ASYNC(D8),2)</f>
        <v>1</v>
      </c>
      <c r="G8" s="13" t="str">
        <f t="shared" si="0"/>
        <v>PASS</v>
      </c>
    </row>
  </sheetData>
  <conditionalFormatting sqref="G2:G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RESULT</vt:lpstr>
      <vt:lpstr>VALUES</vt:lpstr>
      <vt:lpstr>BIND</vt:lpstr>
      <vt:lpstr>INFERENCE_1</vt:lpstr>
      <vt:lpstr>INFERENCE_2</vt:lpstr>
      <vt:lpstr>CONVERT</vt:lpstr>
      <vt:lpstr>XLRANGE OPTIONS</vt:lpstr>
      <vt:lpstr>SCALAR FUNCS</vt:lpstr>
      <vt:lpstr>EXECX-A-AX-ASYNC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Son, Hoang Ngoc - Kiem toan noi bo - Kiem toan vien cap 3</dc:creator>
  <cp:lastModifiedBy>Son, Hoang Ngoc - Kiem toan noi bo - Kiem toan vien ca</cp:lastModifiedBy>
  <dcterms:created xsi:type="dcterms:W3CDTF">2026-08-20T06:08:06Z</dcterms:created>
  <dcterms:modified xsi:type="dcterms:W3CDTF">2026-10-23T09:23:06Z</dcterms:modified>
</cp:coreProperties>
</file>